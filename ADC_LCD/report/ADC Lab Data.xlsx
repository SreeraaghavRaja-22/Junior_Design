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reer\Downloads\"/>
    </mc:Choice>
  </mc:AlternateContent>
  <xr:revisionPtr revIDLastSave="0" documentId="13_ncr:1_{CCE9B8FC-539A-43DF-BE52-8C0F75984BCA}" xr6:coauthVersionLast="47" xr6:coauthVersionMax="47" xr10:uidLastSave="{00000000-0000-0000-0000-000000000000}"/>
  <bookViews>
    <workbookView xWindow="-96" yWindow="-96" windowWidth="23232" windowHeight="13872" activeTab="3" xr2:uid="{00000000-000D-0000-FFFF-FFFF00000000}"/>
  </bookViews>
  <sheets>
    <sheet name="Test 1" sheetId="2" r:id="rId1"/>
    <sheet name="Test 2 with Capacitor" sheetId="3" r:id="rId2"/>
    <sheet name="Test 3 with Capacitors and QR" sheetId="4" r:id="rId3"/>
    <sheet name="Sheet3" sheetId="5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1" i="5" l="1"/>
  <c r="C16" i="5"/>
  <c r="C15" i="5"/>
  <c r="C2" i="5"/>
  <c r="C9" i="5"/>
  <c r="D2" i="5"/>
  <c r="C3" i="5"/>
  <c r="D3" i="5"/>
  <c r="C4" i="5"/>
  <c r="D4" i="5"/>
  <c r="C5" i="5"/>
  <c r="D5" i="5"/>
  <c r="C6" i="5"/>
  <c r="D6" i="5"/>
  <c r="C7" i="5"/>
  <c r="D7" i="5"/>
  <c r="C8" i="5"/>
  <c r="D8" i="5"/>
  <c r="D9" i="5"/>
  <c r="C10" i="5"/>
  <c r="D10" i="5"/>
  <c r="C11" i="5"/>
  <c r="D11" i="5"/>
  <c r="C12" i="5"/>
  <c r="D12" i="5"/>
  <c r="D13" i="5"/>
  <c r="C14" i="5"/>
  <c r="D14" i="5"/>
  <c r="D15" i="5"/>
  <c r="D16" i="5"/>
  <c r="C17" i="5"/>
  <c r="D17" i="5"/>
  <c r="C18" i="5"/>
  <c r="D18" i="5"/>
  <c r="C19" i="5"/>
  <c r="D19" i="5"/>
  <c r="C20" i="5"/>
  <c r="D20" i="5"/>
  <c r="C21" i="5"/>
  <c r="D21" i="5"/>
  <c r="C22" i="5"/>
  <c r="D22" i="5"/>
  <c r="C23" i="5"/>
  <c r="D23" i="5"/>
  <c r="C24" i="5"/>
  <c r="D24" i="5"/>
  <c r="C25" i="5"/>
  <c r="D25" i="5"/>
  <c r="C26" i="5"/>
  <c r="D26" i="5"/>
  <c r="C27" i="5"/>
  <c r="D27" i="5"/>
  <c r="C28" i="5"/>
  <c r="D28" i="5"/>
  <c r="C29" i="5"/>
  <c r="D29" i="5"/>
  <c r="C30" i="5"/>
  <c r="D30" i="5"/>
  <c r="D31" i="5"/>
  <c r="C32" i="5"/>
  <c r="D32" i="5"/>
  <c r="C33" i="5"/>
  <c r="D33" i="5"/>
  <c r="C34" i="5"/>
  <c r="D34" i="5"/>
  <c r="C35" i="5"/>
  <c r="D35" i="5"/>
  <c r="C36" i="5"/>
  <c r="D36" i="5"/>
  <c r="C37" i="5"/>
  <c r="D37" i="5"/>
  <c r="C38" i="5"/>
  <c r="D38" i="5"/>
  <c r="C39" i="5"/>
  <c r="D39" i="5"/>
  <c r="C40" i="5"/>
  <c r="D40" i="5"/>
  <c r="A3" i="5"/>
  <c r="A4" i="5" s="1"/>
  <c r="A4" i="4"/>
  <c r="A5" i="4" s="1"/>
  <c r="D3" i="4"/>
  <c r="C3" i="4"/>
  <c r="A3" i="4"/>
  <c r="D2" i="4"/>
  <c r="C2" i="4"/>
  <c r="A3" i="3"/>
  <c r="C3" i="3" s="1"/>
  <c r="D2" i="3"/>
  <c r="C2" i="3"/>
  <c r="A5" i="5" l="1"/>
  <c r="C4" i="4"/>
  <c r="D5" i="4"/>
  <c r="C5" i="4"/>
  <c r="A6" i="4"/>
  <c r="D4" i="4"/>
  <c r="D3" i="3"/>
  <c r="A4" i="3"/>
  <c r="A6" i="5" l="1"/>
  <c r="A7" i="4"/>
  <c r="D6" i="4"/>
  <c r="C6" i="4"/>
  <c r="A5" i="3"/>
  <c r="D4" i="3"/>
  <c r="C4" i="3"/>
  <c r="A5" i="2"/>
  <c r="D5" i="2" s="1"/>
  <c r="A6" i="2"/>
  <c r="A7" i="2" s="1"/>
  <c r="D3" i="2"/>
  <c r="D4" i="2"/>
  <c r="D2" i="2"/>
  <c r="A4" i="2"/>
  <c r="C4" i="2" s="1"/>
  <c r="C3" i="2"/>
  <c r="A3" i="2"/>
  <c r="C2" i="2"/>
  <c r="A7" i="5" l="1"/>
  <c r="A8" i="4"/>
  <c r="D7" i="4"/>
  <c r="C7" i="4"/>
  <c r="A6" i="3"/>
  <c r="D5" i="3"/>
  <c r="C5" i="3"/>
  <c r="C5" i="2"/>
  <c r="C6" i="2"/>
  <c r="A8" i="2"/>
  <c r="D7" i="2"/>
  <c r="C7" i="2"/>
  <c r="D6" i="2"/>
  <c r="A8" i="5" l="1"/>
  <c r="C8" i="4"/>
  <c r="A9" i="4"/>
  <c r="D8" i="4"/>
  <c r="A7" i="3"/>
  <c r="D6" i="3"/>
  <c r="C6" i="3"/>
  <c r="D8" i="2"/>
  <c r="A9" i="2"/>
  <c r="C8" i="2"/>
  <c r="A9" i="5" l="1"/>
  <c r="A10" i="4"/>
  <c r="C9" i="4"/>
  <c r="D9" i="4"/>
  <c r="A8" i="3"/>
  <c r="D7" i="3"/>
  <c r="C7" i="3"/>
  <c r="D9" i="2"/>
  <c r="A10" i="2"/>
  <c r="C9" i="2"/>
  <c r="A10" i="5" l="1"/>
  <c r="C10" i="4"/>
  <c r="D10" i="4"/>
  <c r="A11" i="4"/>
  <c r="D8" i="3"/>
  <c r="C8" i="3"/>
  <c r="A9" i="3"/>
  <c r="A11" i="2"/>
  <c r="C10" i="2"/>
  <c r="D10" i="2"/>
  <c r="A11" i="5" l="1"/>
  <c r="D11" i="4"/>
  <c r="A12" i="4"/>
  <c r="C11" i="4"/>
  <c r="A10" i="3"/>
  <c r="D9" i="3"/>
  <c r="C9" i="3"/>
  <c r="A12" i="2"/>
  <c r="C11" i="2"/>
  <c r="D11" i="2"/>
  <c r="A12" i="5" l="1"/>
  <c r="A13" i="4"/>
  <c r="D12" i="4"/>
  <c r="C12" i="4"/>
  <c r="A11" i="3"/>
  <c r="D10" i="3"/>
  <c r="C10" i="3"/>
  <c r="A13" i="2"/>
  <c r="D12" i="2"/>
  <c r="C12" i="2"/>
  <c r="A13" i="5" l="1"/>
  <c r="D13" i="4"/>
  <c r="A14" i="4"/>
  <c r="C13" i="4"/>
  <c r="A12" i="3"/>
  <c r="D11" i="3"/>
  <c r="C11" i="3"/>
  <c r="A14" i="2"/>
  <c r="C13" i="2"/>
  <c r="D13" i="2"/>
  <c r="A14" i="5" l="1"/>
  <c r="A15" i="4"/>
  <c r="C14" i="4"/>
  <c r="D14" i="4"/>
  <c r="C12" i="3"/>
  <c r="A13" i="3"/>
  <c r="D12" i="3"/>
  <c r="C14" i="2"/>
  <c r="A15" i="2"/>
  <c r="A16" i="2" s="1"/>
  <c r="D14" i="2"/>
  <c r="A15" i="5" l="1"/>
  <c r="C15" i="4"/>
  <c r="D15" i="4"/>
  <c r="A16" i="4"/>
  <c r="A14" i="3"/>
  <c r="D13" i="3"/>
  <c r="C13" i="3"/>
  <c r="A17" i="2"/>
  <c r="C16" i="2"/>
  <c r="D16" i="2"/>
  <c r="D15" i="2"/>
  <c r="C15" i="2"/>
  <c r="A16" i="5" l="1"/>
  <c r="A17" i="4"/>
  <c r="C16" i="4"/>
  <c r="D16" i="4"/>
  <c r="A15" i="3"/>
  <c r="D14" i="3"/>
  <c r="C14" i="3"/>
  <c r="A18" i="2"/>
  <c r="C17" i="2"/>
  <c r="D17" i="2"/>
  <c r="A17" i="5" l="1"/>
  <c r="A18" i="4"/>
  <c r="D17" i="4"/>
  <c r="C17" i="4"/>
  <c r="A16" i="3"/>
  <c r="D15" i="3"/>
  <c r="C15" i="3"/>
  <c r="D18" i="2"/>
  <c r="A19" i="2"/>
  <c r="C18" i="2"/>
  <c r="A18" i="5" l="1"/>
  <c r="A19" i="4"/>
  <c r="D18" i="4"/>
  <c r="C18" i="4"/>
  <c r="A17" i="3"/>
  <c r="D16" i="3"/>
  <c r="C16" i="3"/>
  <c r="A20" i="2"/>
  <c r="D19" i="2"/>
  <c r="C19" i="2"/>
  <c r="A19" i="5" l="1"/>
  <c r="D19" i="4"/>
  <c r="A20" i="4"/>
  <c r="C19" i="4"/>
  <c r="D17" i="3"/>
  <c r="A18" i="3"/>
  <c r="C17" i="3"/>
  <c r="A21" i="2"/>
  <c r="D20" i="2"/>
  <c r="C20" i="2"/>
  <c r="A20" i="5" l="1"/>
  <c r="A21" i="4"/>
  <c r="D20" i="4"/>
  <c r="C20" i="4"/>
  <c r="A19" i="3"/>
  <c r="D18" i="3"/>
  <c r="C18" i="3"/>
  <c r="A22" i="2"/>
  <c r="C21" i="2"/>
  <c r="D21" i="2"/>
  <c r="A21" i="5" l="1"/>
  <c r="C21" i="4"/>
  <c r="D21" i="4"/>
  <c r="A22" i="4"/>
  <c r="C19" i="3"/>
  <c r="A20" i="3"/>
  <c r="D19" i="3"/>
  <c r="C22" i="2"/>
  <c r="A23" i="2"/>
  <c r="D22" i="2"/>
  <c r="A22" i="5" l="1"/>
  <c r="A23" i="4"/>
  <c r="C22" i="4"/>
  <c r="D22" i="4"/>
  <c r="A21" i="3"/>
  <c r="D20" i="3"/>
  <c r="C20" i="3"/>
  <c r="A24" i="2"/>
  <c r="D23" i="2"/>
  <c r="C23" i="2"/>
  <c r="A23" i="5" l="1"/>
  <c r="A24" i="4"/>
  <c r="D23" i="4"/>
  <c r="C23" i="4"/>
  <c r="A22" i="3"/>
  <c r="D21" i="3"/>
  <c r="C21" i="3"/>
  <c r="A25" i="2"/>
  <c r="D24" i="2"/>
  <c r="C24" i="2"/>
  <c r="A24" i="5" l="1"/>
  <c r="C24" i="4"/>
  <c r="A25" i="4"/>
  <c r="D24" i="4"/>
  <c r="A23" i="3"/>
  <c r="D22" i="3"/>
  <c r="C22" i="3"/>
  <c r="A26" i="2"/>
  <c r="C25" i="2"/>
  <c r="D25" i="2"/>
  <c r="A25" i="5" l="1"/>
  <c r="C25" i="4"/>
  <c r="A26" i="4"/>
  <c r="D25" i="4"/>
  <c r="D23" i="3"/>
  <c r="C23" i="3"/>
  <c r="A24" i="3"/>
  <c r="A27" i="2"/>
  <c r="C26" i="2"/>
  <c r="D26" i="2"/>
  <c r="A26" i="5" l="1"/>
  <c r="A27" i="4"/>
  <c r="D26" i="4"/>
  <c r="C26" i="4"/>
  <c r="D24" i="3"/>
  <c r="C24" i="3"/>
  <c r="A25" i="3"/>
  <c r="A28" i="2"/>
  <c r="D27" i="2"/>
  <c r="C27" i="2"/>
  <c r="A27" i="5" l="1"/>
  <c r="A28" i="4"/>
  <c r="D27" i="4"/>
  <c r="C27" i="4"/>
  <c r="A26" i="3"/>
  <c r="D25" i="3"/>
  <c r="C25" i="3"/>
  <c r="A29" i="2"/>
  <c r="C28" i="2"/>
  <c r="D28" i="2"/>
  <c r="A28" i="5" l="1"/>
  <c r="D28" i="4"/>
  <c r="A29" i="4"/>
  <c r="C28" i="4"/>
  <c r="A27" i="3"/>
  <c r="D26" i="3"/>
  <c r="C26" i="3"/>
  <c r="A30" i="2"/>
  <c r="D29" i="2"/>
  <c r="C29" i="2"/>
  <c r="A29" i="5" l="1"/>
  <c r="D29" i="4"/>
  <c r="A30" i="4"/>
  <c r="C29" i="4"/>
  <c r="A28" i="3"/>
  <c r="D27" i="3"/>
  <c r="C27" i="3"/>
  <c r="A31" i="2"/>
  <c r="C30" i="2"/>
  <c r="D30" i="2"/>
  <c r="A30" i="5" l="1"/>
  <c r="A31" i="4"/>
  <c r="C30" i="4"/>
  <c r="D30" i="4"/>
  <c r="C28" i="3"/>
  <c r="A29" i="3"/>
  <c r="D28" i="3"/>
  <c r="D31" i="2"/>
  <c r="C31" i="2"/>
  <c r="A32" i="2"/>
  <c r="A31" i="5" l="1"/>
  <c r="A32" i="4"/>
  <c r="C31" i="4"/>
  <c r="D31" i="4"/>
  <c r="A30" i="3"/>
  <c r="D29" i="3"/>
  <c r="C29" i="3"/>
  <c r="D32" i="2"/>
  <c r="C32" i="2"/>
  <c r="A33" i="2"/>
  <c r="A32" i="5" l="1"/>
  <c r="A33" i="4"/>
  <c r="D32" i="4"/>
  <c r="C32" i="4"/>
  <c r="A31" i="3"/>
  <c r="D30" i="3"/>
  <c r="C30" i="3"/>
  <c r="A34" i="2"/>
  <c r="D33" i="2"/>
  <c r="C33" i="2"/>
  <c r="A33" i="5" l="1"/>
  <c r="A34" i="4"/>
  <c r="D33" i="4"/>
  <c r="C33" i="4"/>
  <c r="A32" i="3"/>
  <c r="D31" i="3"/>
  <c r="C31" i="3"/>
  <c r="A35" i="2"/>
  <c r="C34" i="2"/>
  <c r="D34" i="2"/>
  <c r="A34" i="5" l="1"/>
  <c r="A35" i="4"/>
  <c r="D34" i="4"/>
  <c r="C34" i="4"/>
  <c r="A33" i="3"/>
  <c r="D32" i="3"/>
  <c r="C32" i="3"/>
  <c r="A36" i="2"/>
  <c r="D35" i="2"/>
  <c r="C35" i="2"/>
  <c r="A35" i="5" l="1"/>
  <c r="C35" i="4"/>
  <c r="A36" i="4"/>
  <c r="D35" i="4"/>
  <c r="D33" i="3"/>
  <c r="A34" i="3"/>
  <c r="C33" i="3"/>
  <c r="A37" i="2"/>
  <c r="D36" i="2"/>
  <c r="C36" i="2"/>
  <c r="A36" i="5" l="1"/>
  <c r="A37" i="4"/>
  <c r="D36" i="4"/>
  <c r="C36" i="4"/>
  <c r="A35" i="3"/>
  <c r="D34" i="3"/>
  <c r="C34" i="3"/>
  <c r="A38" i="2"/>
  <c r="D37" i="2"/>
  <c r="C37" i="2"/>
  <c r="A37" i="5" l="1"/>
  <c r="C37" i="4"/>
  <c r="A38" i="4"/>
  <c r="D37" i="4"/>
  <c r="C35" i="3"/>
  <c r="A36" i="3"/>
  <c r="D35" i="3"/>
  <c r="A39" i="2"/>
  <c r="C38" i="2"/>
  <c r="D38" i="2"/>
  <c r="A38" i="5" l="1"/>
  <c r="A39" i="4"/>
  <c r="D38" i="4"/>
  <c r="C38" i="4"/>
  <c r="A37" i="3"/>
  <c r="D36" i="3"/>
  <c r="C36" i="3"/>
  <c r="A40" i="2"/>
  <c r="D39" i="2"/>
  <c r="C39" i="2"/>
  <c r="A39" i="5" l="1"/>
  <c r="A40" i="4"/>
  <c r="D39" i="4"/>
  <c r="C39" i="4"/>
  <c r="A38" i="3"/>
  <c r="D37" i="3"/>
  <c r="C37" i="3"/>
  <c r="C40" i="2"/>
  <c r="D40" i="2"/>
  <c r="A40" i="5" l="1"/>
  <c r="C40" i="4"/>
  <c r="D40" i="4"/>
  <c r="A39" i="3"/>
  <c r="D38" i="3"/>
  <c r="C38" i="3"/>
  <c r="D39" i="3" l="1"/>
  <c r="C39" i="3"/>
  <c r="A40" i="3"/>
  <c r="C40" i="3" l="1"/>
  <c r="D40" i="3"/>
</calcChain>
</file>

<file path=xl/sharedStrings.xml><?xml version="1.0" encoding="utf-8"?>
<sst xmlns="http://schemas.openxmlformats.org/spreadsheetml/2006/main" count="16" uniqueCount="4">
  <si>
    <t>Expected Resistance Value (Ohms)</t>
  </si>
  <si>
    <t>Difference</t>
  </si>
  <si>
    <t>Percent Error</t>
  </si>
  <si>
    <t>Measured Resistance Value (Ohms)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</si>
</sst>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>
    <tableStyle name="Srees Data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'Test 1'!$B$1</c:f>
              <c:strCache>
                <c:ptCount val="1"/>
                <c:pt idx="0">
                  <c:v>Measured Resistance Value (Ohms)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48636920384951882"/>
                  <c:y val="-6.807633420822399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5.3410761154855643E-2"/>
                  <c:y val="-4.946121318168564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'Test 1'!$B$2:$B$42</c:f>
              <c:numCache>
                <c:formatCode>General</c:formatCode>
                <c:ptCount val="41"/>
                <c:pt idx="0">
                  <c:v>1032.4749999999999</c:v>
                </c:pt>
                <c:pt idx="1">
                  <c:v>5077.2539999999999</c:v>
                </c:pt>
                <c:pt idx="2">
                  <c:v>10044.365</c:v>
                </c:pt>
                <c:pt idx="3">
                  <c:v>15141.141</c:v>
                </c:pt>
                <c:pt idx="4">
                  <c:v>20079.862000000001</c:v>
                </c:pt>
                <c:pt idx="5">
                  <c:v>24852.833999999999</c:v>
                </c:pt>
                <c:pt idx="6">
                  <c:v>29772.28</c:v>
                </c:pt>
                <c:pt idx="7">
                  <c:v>35362.008000000002</c:v>
                </c:pt>
                <c:pt idx="8">
                  <c:v>39817.64</c:v>
                </c:pt>
                <c:pt idx="9">
                  <c:v>44539.315999999999</c:v>
                </c:pt>
                <c:pt idx="10">
                  <c:v>49507.19</c:v>
                </c:pt>
                <c:pt idx="11">
                  <c:v>54300.951999999997</c:v>
                </c:pt>
                <c:pt idx="12">
                  <c:v>60782.131999999998</c:v>
                </c:pt>
                <c:pt idx="13">
                  <c:v>63319.96</c:v>
                </c:pt>
                <c:pt idx="14">
                  <c:v>67994.61</c:v>
                </c:pt>
                <c:pt idx="15">
                  <c:v>72648.38</c:v>
                </c:pt>
                <c:pt idx="16">
                  <c:v>77305.53</c:v>
                </c:pt>
                <c:pt idx="17">
                  <c:v>83378.34</c:v>
                </c:pt>
                <c:pt idx="18">
                  <c:v>89711.46</c:v>
                </c:pt>
                <c:pt idx="19">
                  <c:v>93734.29</c:v>
                </c:pt>
                <c:pt idx="20">
                  <c:v>97776.44</c:v>
                </c:pt>
                <c:pt idx="21">
                  <c:v>146554.51999999999</c:v>
                </c:pt>
                <c:pt idx="22">
                  <c:v>193025.82</c:v>
                </c:pt>
                <c:pt idx="23">
                  <c:v>246192.75200000001</c:v>
                </c:pt>
                <c:pt idx="24">
                  <c:v>279004.7</c:v>
                </c:pt>
                <c:pt idx="25">
                  <c:v>328096.59999999998</c:v>
                </c:pt>
                <c:pt idx="26">
                  <c:v>387532.28</c:v>
                </c:pt>
                <c:pt idx="27">
                  <c:v>401010.3</c:v>
                </c:pt>
                <c:pt idx="28">
                  <c:v>445482.22</c:v>
                </c:pt>
                <c:pt idx="29">
                  <c:v>457616.84</c:v>
                </c:pt>
                <c:pt idx="30">
                  <c:v>563671.9</c:v>
                </c:pt>
                <c:pt idx="31">
                  <c:v>621328.30000000005</c:v>
                </c:pt>
                <c:pt idx="32">
                  <c:v>647635.80000000005</c:v>
                </c:pt>
                <c:pt idx="33">
                  <c:v>691317.56799999997</c:v>
                </c:pt>
                <c:pt idx="34">
                  <c:v>732242.9</c:v>
                </c:pt>
                <c:pt idx="35">
                  <c:v>740990</c:v>
                </c:pt>
                <c:pt idx="36">
                  <c:v>727943.7</c:v>
                </c:pt>
                <c:pt idx="37">
                  <c:v>754491.4</c:v>
                </c:pt>
                <c:pt idx="38">
                  <c:v>852292.1</c:v>
                </c:pt>
              </c:numCache>
            </c:numRef>
          </c:xVal>
          <c:yVal>
            <c:numRef>
              <c:f>'Test 1'!$A$2:$A$42</c:f>
              <c:numCache>
                <c:formatCode>General</c:formatCode>
                <c:ptCount val="41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15000</c:v>
                </c:pt>
                <c:pt idx="4">
                  <c:v>20000</c:v>
                </c:pt>
                <c:pt idx="5">
                  <c:v>25000</c:v>
                </c:pt>
                <c:pt idx="6">
                  <c:v>30000</c:v>
                </c:pt>
                <c:pt idx="7">
                  <c:v>35000</c:v>
                </c:pt>
                <c:pt idx="8">
                  <c:v>40000</c:v>
                </c:pt>
                <c:pt idx="9">
                  <c:v>45000</c:v>
                </c:pt>
                <c:pt idx="10">
                  <c:v>50000</c:v>
                </c:pt>
                <c:pt idx="11">
                  <c:v>55000</c:v>
                </c:pt>
                <c:pt idx="12">
                  <c:v>60000</c:v>
                </c:pt>
                <c:pt idx="13">
                  <c:v>65000</c:v>
                </c:pt>
                <c:pt idx="14">
                  <c:v>70000</c:v>
                </c:pt>
                <c:pt idx="15">
                  <c:v>75000</c:v>
                </c:pt>
                <c:pt idx="16">
                  <c:v>80000</c:v>
                </c:pt>
                <c:pt idx="17">
                  <c:v>85000</c:v>
                </c:pt>
                <c:pt idx="18">
                  <c:v>90000</c:v>
                </c:pt>
                <c:pt idx="19">
                  <c:v>95000</c:v>
                </c:pt>
                <c:pt idx="20">
                  <c:v>100000</c:v>
                </c:pt>
                <c:pt idx="21">
                  <c:v>150000</c:v>
                </c:pt>
                <c:pt idx="22">
                  <c:v>200000</c:v>
                </c:pt>
                <c:pt idx="23">
                  <c:v>250000</c:v>
                </c:pt>
                <c:pt idx="24">
                  <c:v>300000</c:v>
                </c:pt>
                <c:pt idx="25">
                  <c:v>350000</c:v>
                </c:pt>
                <c:pt idx="26">
                  <c:v>400000</c:v>
                </c:pt>
                <c:pt idx="27">
                  <c:v>450000</c:v>
                </c:pt>
                <c:pt idx="28">
                  <c:v>500000</c:v>
                </c:pt>
                <c:pt idx="29">
                  <c:v>550000</c:v>
                </c:pt>
                <c:pt idx="30">
                  <c:v>600000</c:v>
                </c:pt>
                <c:pt idx="31">
                  <c:v>650000</c:v>
                </c:pt>
                <c:pt idx="32">
                  <c:v>700000</c:v>
                </c:pt>
                <c:pt idx="33">
                  <c:v>750000</c:v>
                </c:pt>
                <c:pt idx="34">
                  <c:v>800000</c:v>
                </c:pt>
                <c:pt idx="35">
                  <c:v>850000</c:v>
                </c:pt>
                <c:pt idx="36">
                  <c:v>900000</c:v>
                </c:pt>
                <c:pt idx="37">
                  <c:v>950000</c:v>
                </c:pt>
                <c:pt idx="38">
                  <c:v>1000000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65-4E20-BE8A-A942A98849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5359615"/>
        <c:axId val="1495360095"/>
      </c:scatterChart>
      <c:valAx>
        <c:axId val="14953596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5360095"/>
        <c:crosses val="autoZero"/>
        <c:crossBetween val="midCat"/>
      </c:valAx>
      <c:valAx>
        <c:axId val="1495360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53596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 vs 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6.091819772528434E-2"/>
                  <c:y val="-0.1803659959171770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43462335958005249"/>
                  <c:y val="-0.2055234762321376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'Test 2 with Capacitor'!$B$2:$B$41</c:f>
              <c:numCache>
                <c:formatCode>General</c:formatCode>
                <c:ptCount val="40"/>
                <c:pt idx="0">
                  <c:v>1032.4749999999999</c:v>
                </c:pt>
                <c:pt idx="1">
                  <c:v>5023.6099999999997</c:v>
                </c:pt>
                <c:pt idx="2">
                  <c:v>10016.937</c:v>
                </c:pt>
                <c:pt idx="3">
                  <c:v>15038.4</c:v>
                </c:pt>
                <c:pt idx="4">
                  <c:v>20017.367999999999</c:v>
                </c:pt>
                <c:pt idx="5">
                  <c:v>25051.67</c:v>
                </c:pt>
                <c:pt idx="6">
                  <c:v>30360.848000000002</c:v>
                </c:pt>
                <c:pt idx="7">
                  <c:v>35155.199999999997</c:v>
                </c:pt>
                <c:pt idx="8">
                  <c:v>40610.591999999997</c:v>
                </c:pt>
                <c:pt idx="9">
                  <c:v>44539.315999999999</c:v>
                </c:pt>
                <c:pt idx="10">
                  <c:v>50526.45</c:v>
                </c:pt>
                <c:pt idx="11">
                  <c:v>55562.26</c:v>
                </c:pt>
                <c:pt idx="12">
                  <c:v>61042.96</c:v>
                </c:pt>
                <c:pt idx="13">
                  <c:v>65566.039999999994</c:v>
                </c:pt>
                <c:pt idx="14">
                  <c:v>71023.551999999996</c:v>
                </c:pt>
                <c:pt idx="15">
                  <c:v>75710.05</c:v>
                </c:pt>
                <c:pt idx="16">
                  <c:v>81024.3</c:v>
                </c:pt>
                <c:pt idx="17">
                  <c:v>86145.448000000004</c:v>
                </c:pt>
                <c:pt idx="18">
                  <c:v>91863.05</c:v>
                </c:pt>
                <c:pt idx="19">
                  <c:v>96030.53</c:v>
                </c:pt>
                <c:pt idx="20">
                  <c:v>101958.43</c:v>
                </c:pt>
                <c:pt idx="21">
                  <c:v>151952.16</c:v>
                </c:pt>
                <c:pt idx="22">
                  <c:v>206628.61600000001</c:v>
                </c:pt>
                <c:pt idx="23">
                  <c:v>255718.64</c:v>
                </c:pt>
                <c:pt idx="24">
                  <c:v>310682.78000000003</c:v>
                </c:pt>
                <c:pt idx="25">
                  <c:v>365268.9</c:v>
                </c:pt>
                <c:pt idx="26">
                  <c:v>418369.95199999999</c:v>
                </c:pt>
                <c:pt idx="27">
                  <c:v>477980.36</c:v>
                </c:pt>
                <c:pt idx="28">
                  <c:v>529005.92000000004</c:v>
                </c:pt>
                <c:pt idx="29">
                  <c:v>579872.69999999995</c:v>
                </c:pt>
                <c:pt idx="30">
                  <c:v>665179.56000000006</c:v>
                </c:pt>
                <c:pt idx="31">
                  <c:v>695211.9</c:v>
                </c:pt>
                <c:pt idx="32">
                  <c:v>768470.72</c:v>
                </c:pt>
                <c:pt idx="33">
                  <c:v>813558.6</c:v>
                </c:pt>
                <c:pt idx="34">
                  <c:v>864019.6</c:v>
                </c:pt>
                <c:pt idx="35">
                  <c:v>977829.1</c:v>
                </c:pt>
                <c:pt idx="36">
                  <c:v>1000980.1</c:v>
                </c:pt>
                <c:pt idx="37">
                  <c:v>1050613.2</c:v>
                </c:pt>
                <c:pt idx="38">
                  <c:v>1134694.3999999999</c:v>
                </c:pt>
              </c:numCache>
            </c:numRef>
          </c:xVal>
          <c:yVal>
            <c:numRef>
              <c:f>'Test 2 with Capacitor'!$A$2:$A$41</c:f>
              <c:numCache>
                <c:formatCode>General</c:formatCode>
                <c:ptCount val="40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15000</c:v>
                </c:pt>
                <c:pt idx="4">
                  <c:v>20000</c:v>
                </c:pt>
                <c:pt idx="5">
                  <c:v>25000</c:v>
                </c:pt>
                <c:pt idx="6">
                  <c:v>30000</c:v>
                </c:pt>
                <c:pt idx="7">
                  <c:v>35000</c:v>
                </c:pt>
                <c:pt idx="8">
                  <c:v>40000</c:v>
                </c:pt>
                <c:pt idx="9">
                  <c:v>45000</c:v>
                </c:pt>
                <c:pt idx="10">
                  <c:v>50000</c:v>
                </c:pt>
                <c:pt idx="11">
                  <c:v>55000</c:v>
                </c:pt>
                <c:pt idx="12">
                  <c:v>60000</c:v>
                </c:pt>
                <c:pt idx="13">
                  <c:v>65000</c:v>
                </c:pt>
                <c:pt idx="14">
                  <c:v>70000</c:v>
                </c:pt>
                <c:pt idx="15">
                  <c:v>75000</c:v>
                </c:pt>
                <c:pt idx="16">
                  <c:v>80000</c:v>
                </c:pt>
                <c:pt idx="17">
                  <c:v>85000</c:v>
                </c:pt>
                <c:pt idx="18">
                  <c:v>90000</c:v>
                </c:pt>
                <c:pt idx="19">
                  <c:v>95000</c:v>
                </c:pt>
                <c:pt idx="20">
                  <c:v>100000</c:v>
                </c:pt>
                <c:pt idx="21">
                  <c:v>150000</c:v>
                </c:pt>
                <c:pt idx="22">
                  <c:v>200000</c:v>
                </c:pt>
                <c:pt idx="23">
                  <c:v>250000</c:v>
                </c:pt>
                <c:pt idx="24">
                  <c:v>300000</c:v>
                </c:pt>
                <c:pt idx="25">
                  <c:v>350000</c:v>
                </c:pt>
                <c:pt idx="26">
                  <c:v>400000</c:v>
                </c:pt>
                <c:pt idx="27">
                  <c:v>450000</c:v>
                </c:pt>
                <c:pt idx="28">
                  <c:v>500000</c:v>
                </c:pt>
                <c:pt idx="29">
                  <c:v>550000</c:v>
                </c:pt>
                <c:pt idx="30">
                  <c:v>600000</c:v>
                </c:pt>
                <c:pt idx="31">
                  <c:v>650000</c:v>
                </c:pt>
                <c:pt idx="32">
                  <c:v>700000</c:v>
                </c:pt>
                <c:pt idx="33">
                  <c:v>750000</c:v>
                </c:pt>
                <c:pt idx="34">
                  <c:v>800000</c:v>
                </c:pt>
                <c:pt idx="35">
                  <c:v>850000</c:v>
                </c:pt>
                <c:pt idx="36">
                  <c:v>900000</c:v>
                </c:pt>
                <c:pt idx="37">
                  <c:v>950000</c:v>
                </c:pt>
                <c:pt idx="38">
                  <c:v>1000000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81-4AA7-B993-3A0E4B2796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5377375"/>
        <c:axId val="1495364415"/>
      </c:scatterChart>
      <c:valAx>
        <c:axId val="14953773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5364415"/>
        <c:crosses val="autoZero"/>
        <c:crossBetween val="midCat"/>
      </c:valAx>
      <c:valAx>
        <c:axId val="1495364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53773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700693350831146"/>
          <c:y val="2.98953662182361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M vs R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1"/>
            <c:dispEq val="1"/>
            <c:trendlineLbl>
              <c:layout>
                <c:manualLayout>
                  <c:x val="-0.37879658792650917"/>
                  <c:y val="-0.1930209244677748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4109230096237971"/>
                  <c:y val="-0.172340696996208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'Test 3 with Capacitors and QR'!$B$2:$B$41</c:f>
              <c:numCache>
                <c:formatCode>General</c:formatCode>
                <c:ptCount val="40"/>
                <c:pt idx="0">
                  <c:v>1072.4046000000001</c:v>
                </c:pt>
                <c:pt idx="1">
                  <c:v>5084.26</c:v>
                </c:pt>
                <c:pt idx="2">
                  <c:v>10125.574000000001</c:v>
                </c:pt>
                <c:pt idx="3">
                  <c:v>15131.352999999999</c:v>
                </c:pt>
                <c:pt idx="4">
                  <c:v>20231.574000000001</c:v>
                </c:pt>
                <c:pt idx="5">
                  <c:v>25305.732</c:v>
                </c:pt>
                <c:pt idx="6">
                  <c:v>30422.998</c:v>
                </c:pt>
                <c:pt idx="7">
                  <c:v>35573.188000000002</c:v>
                </c:pt>
                <c:pt idx="8">
                  <c:v>40575.184000000001</c:v>
                </c:pt>
                <c:pt idx="9">
                  <c:v>45628.72</c:v>
                </c:pt>
                <c:pt idx="10">
                  <c:v>50744.523999999998</c:v>
                </c:pt>
                <c:pt idx="11">
                  <c:v>55245.784</c:v>
                </c:pt>
                <c:pt idx="12">
                  <c:v>61131</c:v>
                </c:pt>
                <c:pt idx="13">
                  <c:v>66246.710000000006</c:v>
                </c:pt>
                <c:pt idx="14">
                  <c:v>71544.570000000007</c:v>
                </c:pt>
                <c:pt idx="15">
                  <c:v>76550.320000000007</c:v>
                </c:pt>
                <c:pt idx="16">
                  <c:v>81663.06</c:v>
                </c:pt>
                <c:pt idx="17">
                  <c:v>86956.14</c:v>
                </c:pt>
                <c:pt idx="18">
                  <c:v>92295.191999999995</c:v>
                </c:pt>
                <c:pt idx="19">
                  <c:v>96996.34</c:v>
                </c:pt>
                <c:pt idx="20">
                  <c:v>103298.768</c:v>
                </c:pt>
                <c:pt idx="21">
                  <c:v>156435.94</c:v>
                </c:pt>
                <c:pt idx="22">
                  <c:v>211226.82</c:v>
                </c:pt>
                <c:pt idx="23">
                  <c:v>265161.53999999998</c:v>
                </c:pt>
                <c:pt idx="24">
                  <c:v>320565.86</c:v>
                </c:pt>
                <c:pt idx="25">
                  <c:v>377508.84</c:v>
                </c:pt>
                <c:pt idx="26">
                  <c:v>435933.33</c:v>
                </c:pt>
                <c:pt idx="27">
                  <c:v>494532.9</c:v>
                </c:pt>
                <c:pt idx="28">
                  <c:v>567358.69999999995</c:v>
                </c:pt>
                <c:pt idx="29">
                  <c:v>622729.72</c:v>
                </c:pt>
                <c:pt idx="30">
                  <c:v>681708.43599999999</c:v>
                </c:pt>
                <c:pt idx="31">
                  <c:v>738883.9</c:v>
                </c:pt>
                <c:pt idx="32">
                  <c:v>800823</c:v>
                </c:pt>
                <c:pt idx="33">
                  <c:v>879696.92</c:v>
                </c:pt>
                <c:pt idx="34">
                  <c:v>952975.8</c:v>
                </c:pt>
                <c:pt idx="35">
                  <c:v>1030611.04</c:v>
                </c:pt>
                <c:pt idx="36">
                  <c:v>1092654.3999999999</c:v>
                </c:pt>
                <c:pt idx="37">
                  <c:v>1173056.8</c:v>
                </c:pt>
                <c:pt idx="38">
                  <c:v>1278437.5</c:v>
                </c:pt>
              </c:numCache>
            </c:numRef>
          </c:xVal>
          <c:yVal>
            <c:numRef>
              <c:f>'Test 3 with Capacitors and QR'!$A$2:$A$41</c:f>
              <c:numCache>
                <c:formatCode>General</c:formatCode>
                <c:ptCount val="40"/>
                <c:pt idx="0">
                  <c:v>1000</c:v>
                </c:pt>
                <c:pt idx="1">
                  <c:v>5000</c:v>
                </c:pt>
                <c:pt idx="2">
                  <c:v>10000</c:v>
                </c:pt>
                <c:pt idx="3">
                  <c:v>15000</c:v>
                </c:pt>
                <c:pt idx="4">
                  <c:v>20000</c:v>
                </c:pt>
                <c:pt idx="5">
                  <c:v>25000</c:v>
                </c:pt>
                <c:pt idx="6">
                  <c:v>30000</c:v>
                </c:pt>
                <c:pt idx="7">
                  <c:v>35000</c:v>
                </c:pt>
                <c:pt idx="8">
                  <c:v>40000</c:v>
                </c:pt>
                <c:pt idx="9">
                  <c:v>45000</c:v>
                </c:pt>
                <c:pt idx="10">
                  <c:v>50000</c:v>
                </c:pt>
                <c:pt idx="11">
                  <c:v>55000</c:v>
                </c:pt>
                <c:pt idx="12">
                  <c:v>60000</c:v>
                </c:pt>
                <c:pt idx="13">
                  <c:v>65000</c:v>
                </c:pt>
                <c:pt idx="14">
                  <c:v>70000</c:v>
                </c:pt>
                <c:pt idx="15">
                  <c:v>75000</c:v>
                </c:pt>
                <c:pt idx="16">
                  <c:v>80000</c:v>
                </c:pt>
                <c:pt idx="17">
                  <c:v>85000</c:v>
                </c:pt>
                <c:pt idx="18">
                  <c:v>90000</c:v>
                </c:pt>
                <c:pt idx="19">
                  <c:v>95000</c:v>
                </c:pt>
                <c:pt idx="20">
                  <c:v>100000</c:v>
                </c:pt>
                <c:pt idx="21">
                  <c:v>150000</c:v>
                </c:pt>
                <c:pt idx="22">
                  <c:v>200000</c:v>
                </c:pt>
                <c:pt idx="23">
                  <c:v>250000</c:v>
                </c:pt>
                <c:pt idx="24">
                  <c:v>300000</c:v>
                </c:pt>
                <c:pt idx="25">
                  <c:v>350000</c:v>
                </c:pt>
                <c:pt idx="26">
                  <c:v>400000</c:v>
                </c:pt>
                <c:pt idx="27">
                  <c:v>450000</c:v>
                </c:pt>
                <c:pt idx="28">
                  <c:v>500000</c:v>
                </c:pt>
                <c:pt idx="29">
                  <c:v>550000</c:v>
                </c:pt>
                <c:pt idx="30">
                  <c:v>600000</c:v>
                </c:pt>
                <c:pt idx="31">
                  <c:v>650000</c:v>
                </c:pt>
                <c:pt idx="32">
                  <c:v>700000</c:v>
                </c:pt>
                <c:pt idx="33">
                  <c:v>750000</c:v>
                </c:pt>
                <c:pt idx="34">
                  <c:v>800000</c:v>
                </c:pt>
                <c:pt idx="35">
                  <c:v>850000</c:v>
                </c:pt>
                <c:pt idx="36">
                  <c:v>900000</c:v>
                </c:pt>
                <c:pt idx="37">
                  <c:v>950000</c:v>
                </c:pt>
                <c:pt idx="38">
                  <c:v>1000000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0E1-485D-AB0A-EDB86480F6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5379775"/>
        <c:axId val="1495370175"/>
      </c:scatterChart>
      <c:valAx>
        <c:axId val="14953797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5370175"/>
        <c:crosses val="autoZero"/>
        <c:crossBetween val="midCat"/>
      </c:valAx>
      <c:valAx>
        <c:axId val="1495370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537977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381000</xdr:colOff>
      <xdr:row>5</xdr:row>
      <xdr:rowOff>95250</xdr:rowOff>
    </xdr:from>
    <xdr:to>
      <xdr:col>8</xdr:col>
      <xdr:colOff>373380</xdr:colOff>
      <xdr:row>19</xdr:row>
      <xdr:rowOff>64770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7B267F90-5062-6809-97C1-433C9A50EC1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30480</xdr:colOff>
      <xdr:row>5</xdr:row>
      <xdr:rowOff>41910</xdr:rowOff>
    </xdr:from>
    <xdr:to>
      <xdr:col>12</xdr:col>
      <xdr:colOff>335280</xdr:colOff>
      <xdr:row>21</xdr:row>
      <xdr:rowOff>102870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6D7E9DD-FC53-7E03-109D-F49BAA39C4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</xdr:colOff>
      <xdr:row>7</xdr:row>
      <xdr:rowOff>148590</xdr:rowOff>
    </xdr:from>
    <xdr:to>
      <xdr:col>13</xdr:col>
      <xdr:colOff>312420</xdr:colOff>
      <xdr:row>24</xdr:row>
      <xdr:rowOff>41910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CDD7BC0-08A1-5731-2A1F-4D526F8185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42"/>
  <sheetViews>
    <sheetView workbookViewId="0">
      <selection activeCell="D28" sqref="D28"/>
    </sheetView>
  </sheetViews>
  <sheetFormatPr defaultColWidth="12.6640625" defaultRowHeight="15.75" customHeight="1" x14ac:dyDescent="0.4"/>
  <cols>
    <col min="1" max="1" width="29" customWidth="1"/>
    <col min="2" max="2" width="30.5546875" customWidth="1"/>
    <col min="3" max="3" width="14.77734375" customWidth="1"/>
    <col min="4" max="4" width="20.88671875" customWidth="1"/>
    <col min="5" max="5" width="37.44140625" customWidth="1"/>
    <col min="6" max="6" width="33.6640625" customWidth="1"/>
    <col min="7" max="7" width="20.44140625" customWidth="1"/>
  </cols>
  <sheetData>
    <row r="1" spans="1:6" ht="12.3" x14ac:dyDescent="0.4">
      <c r="A1" s="1" t="s">
        <v>0</v>
      </c>
      <c r="B1" s="1" t="s">
        <v>3</v>
      </c>
      <c r="C1" s="1" t="s">
        <v>1</v>
      </c>
      <c r="D1" s="1" t="s">
        <v>2</v>
      </c>
      <c r="F1" s="1"/>
    </row>
    <row r="2" spans="1:6" ht="12.3" x14ac:dyDescent="0.4">
      <c r="A2" s="1">
        <v>1000</v>
      </c>
      <c r="B2" s="1">
        <v>1032.4749999999999</v>
      </c>
      <c r="C2" s="1">
        <f t="shared" ref="C2:C40" si="0">A2-B2</f>
        <v>-32.474999999999909</v>
      </c>
      <c r="D2" s="1">
        <f>ABS((B2-A2)/A2)*100</f>
        <v>3.2474999999999907</v>
      </c>
      <c r="F2" s="1"/>
    </row>
    <row r="3" spans="1:6" ht="12.3" x14ac:dyDescent="0.4">
      <c r="A3" s="1">
        <f>5000</f>
        <v>5000</v>
      </c>
      <c r="B3" s="1">
        <v>5077.2539999999999</v>
      </c>
      <c r="C3" s="1">
        <f t="shared" si="0"/>
        <v>-77.253999999999905</v>
      </c>
      <c r="D3" s="1">
        <f t="shared" ref="D3:D40" si="1">ABS((B3-A3)/A3)*100</f>
        <v>1.5450799999999982</v>
      </c>
      <c r="F3" s="1"/>
    </row>
    <row r="4" spans="1:6" ht="12.3" x14ac:dyDescent="0.4">
      <c r="A4" s="1">
        <f>A3+5000</f>
        <v>10000</v>
      </c>
      <c r="B4" s="1">
        <v>10044.365</v>
      </c>
      <c r="C4" s="1">
        <f t="shared" si="0"/>
        <v>-44.364999999999782</v>
      </c>
      <c r="D4" s="1">
        <f t="shared" si="1"/>
        <v>0.44364999999999777</v>
      </c>
      <c r="F4" s="1"/>
    </row>
    <row r="5" spans="1:6" ht="12.3" x14ac:dyDescent="0.4">
      <c r="A5" s="1">
        <f t="shared" ref="A5:A22" si="2">A4+5000</f>
        <v>15000</v>
      </c>
      <c r="B5" s="1">
        <v>15141.141</v>
      </c>
      <c r="C5" s="1">
        <f t="shared" si="0"/>
        <v>-141.14099999999962</v>
      </c>
      <c r="D5" s="1">
        <f t="shared" si="1"/>
        <v>0.94093999999999745</v>
      </c>
      <c r="F5" s="1"/>
    </row>
    <row r="6" spans="1:6" ht="12.3" x14ac:dyDescent="0.4">
      <c r="A6" s="1">
        <f t="shared" si="2"/>
        <v>20000</v>
      </c>
      <c r="B6" s="1">
        <v>20079.862000000001</v>
      </c>
      <c r="C6" s="1">
        <f t="shared" si="0"/>
        <v>-79.86200000000099</v>
      </c>
      <c r="D6" s="1">
        <f t="shared" si="1"/>
        <v>0.39931000000000499</v>
      </c>
      <c r="E6" s="1"/>
      <c r="F6" s="1"/>
    </row>
    <row r="7" spans="1:6" ht="12.3" x14ac:dyDescent="0.4">
      <c r="A7" s="1">
        <f t="shared" si="2"/>
        <v>25000</v>
      </c>
      <c r="B7" s="1">
        <v>24852.833999999999</v>
      </c>
      <c r="C7" s="1">
        <f t="shared" si="0"/>
        <v>147.16600000000108</v>
      </c>
      <c r="D7" s="1">
        <f t="shared" si="1"/>
        <v>0.58866400000000429</v>
      </c>
      <c r="E7" s="1"/>
      <c r="F7" s="1"/>
    </row>
    <row r="8" spans="1:6" ht="12.3" x14ac:dyDescent="0.4">
      <c r="A8" s="1">
        <f t="shared" si="2"/>
        <v>30000</v>
      </c>
      <c r="B8" s="1">
        <v>29772.28</v>
      </c>
      <c r="C8" s="1">
        <f t="shared" si="0"/>
        <v>227.72000000000116</v>
      </c>
      <c r="D8" s="1">
        <f t="shared" si="1"/>
        <v>0.75906666666667055</v>
      </c>
      <c r="E8" s="1"/>
      <c r="F8" s="1"/>
    </row>
    <row r="9" spans="1:6" ht="12.3" x14ac:dyDescent="0.4">
      <c r="A9" s="1">
        <f t="shared" si="2"/>
        <v>35000</v>
      </c>
      <c r="B9" s="1">
        <v>35362.008000000002</v>
      </c>
      <c r="C9" s="1">
        <f t="shared" si="0"/>
        <v>-362.00800000000163</v>
      </c>
      <c r="D9" s="1">
        <f t="shared" si="1"/>
        <v>1.034308571428576</v>
      </c>
      <c r="E9" s="1"/>
      <c r="F9" s="1"/>
    </row>
    <row r="10" spans="1:6" ht="12.3" x14ac:dyDescent="0.4">
      <c r="A10" s="1">
        <f t="shared" si="2"/>
        <v>40000</v>
      </c>
      <c r="B10" s="1">
        <v>39817.64</v>
      </c>
      <c r="C10" s="1">
        <f t="shared" si="0"/>
        <v>182.36000000000058</v>
      </c>
      <c r="D10" s="1">
        <f t="shared" si="1"/>
        <v>0.45590000000000142</v>
      </c>
      <c r="E10" s="1"/>
      <c r="F10" s="1"/>
    </row>
    <row r="11" spans="1:6" ht="12.3" x14ac:dyDescent="0.4">
      <c r="A11" s="1">
        <f t="shared" si="2"/>
        <v>45000</v>
      </c>
      <c r="B11" s="1">
        <v>44539.315999999999</v>
      </c>
      <c r="C11" s="1">
        <f t="shared" si="0"/>
        <v>460.68400000000111</v>
      </c>
      <c r="D11" s="1">
        <f t="shared" si="1"/>
        <v>1.0237422222222248</v>
      </c>
      <c r="E11" s="1"/>
      <c r="F11" s="1"/>
    </row>
    <row r="12" spans="1:6" ht="12.3" x14ac:dyDescent="0.4">
      <c r="A12" s="1">
        <f t="shared" si="2"/>
        <v>50000</v>
      </c>
      <c r="B12" s="1">
        <v>49507.19</v>
      </c>
      <c r="C12" s="1">
        <f t="shared" si="0"/>
        <v>492.80999999999767</v>
      </c>
      <c r="D12" s="1">
        <f t="shared" si="1"/>
        <v>0.98561999999999539</v>
      </c>
      <c r="E12" s="1"/>
      <c r="F12" s="1"/>
    </row>
    <row r="13" spans="1:6" ht="12.3" x14ac:dyDescent="0.4">
      <c r="A13" s="1">
        <f t="shared" si="2"/>
        <v>55000</v>
      </c>
      <c r="B13" s="1">
        <v>54300.951999999997</v>
      </c>
      <c r="C13" s="1">
        <f t="shared" si="0"/>
        <v>699.0480000000025</v>
      </c>
      <c r="D13" s="1">
        <f t="shared" si="1"/>
        <v>1.2709963636363681</v>
      </c>
      <c r="E13" s="1"/>
      <c r="F13" s="1"/>
    </row>
    <row r="14" spans="1:6" ht="12.3" x14ac:dyDescent="0.4">
      <c r="A14" s="1">
        <f t="shared" si="2"/>
        <v>60000</v>
      </c>
      <c r="B14" s="1">
        <v>60782.131999999998</v>
      </c>
      <c r="C14" s="1">
        <f t="shared" si="0"/>
        <v>-782.13199999999779</v>
      </c>
      <c r="D14" s="1">
        <f t="shared" si="1"/>
        <v>1.3035533333333298</v>
      </c>
      <c r="E14" s="1"/>
      <c r="F14" s="1"/>
    </row>
    <row r="15" spans="1:6" ht="12.3" x14ac:dyDescent="0.4">
      <c r="A15" s="1">
        <f t="shared" si="2"/>
        <v>65000</v>
      </c>
      <c r="B15">
        <v>63319.96</v>
      </c>
      <c r="C15" s="1">
        <f t="shared" si="0"/>
        <v>1680.0400000000009</v>
      </c>
      <c r="D15" s="1">
        <f t="shared" si="1"/>
        <v>2.5846769230769242</v>
      </c>
      <c r="E15" s="1"/>
    </row>
    <row r="16" spans="1:6" ht="12.3" x14ac:dyDescent="0.4">
      <c r="A16" s="1">
        <f>A15+5000</f>
        <v>70000</v>
      </c>
      <c r="B16">
        <v>67994.61</v>
      </c>
      <c r="C16" s="1">
        <f t="shared" si="0"/>
        <v>2005.3899999999994</v>
      </c>
      <c r="D16" s="1">
        <f t="shared" si="1"/>
        <v>2.8648428571428566</v>
      </c>
      <c r="E16" s="1"/>
    </row>
    <row r="17" spans="1:4" ht="12.3" x14ac:dyDescent="0.4">
      <c r="A17" s="1">
        <f t="shared" si="2"/>
        <v>75000</v>
      </c>
      <c r="B17">
        <v>72648.38</v>
      </c>
      <c r="C17" s="1">
        <f t="shared" si="0"/>
        <v>2351.6199999999953</v>
      </c>
      <c r="D17" s="1">
        <f t="shared" si="1"/>
        <v>3.135493333333327</v>
      </c>
    </row>
    <row r="18" spans="1:4" ht="12.3" x14ac:dyDescent="0.4">
      <c r="A18" s="1">
        <f t="shared" si="2"/>
        <v>80000</v>
      </c>
      <c r="B18">
        <v>77305.53</v>
      </c>
      <c r="C18" s="1">
        <f t="shared" si="0"/>
        <v>2694.4700000000012</v>
      </c>
      <c r="D18" s="1">
        <f t="shared" si="1"/>
        <v>3.3680875000000015</v>
      </c>
    </row>
    <row r="19" spans="1:4" ht="12.3" x14ac:dyDescent="0.4">
      <c r="A19" s="1">
        <f t="shared" si="2"/>
        <v>85000</v>
      </c>
      <c r="B19">
        <v>83378.34</v>
      </c>
      <c r="C19" s="1">
        <f t="shared" si="0"/>
        <v>1621.6600000000035</v>
      </c>
      <c r="D19" s="1">
        <f t="shared" si="1"/>
        <v>1.9078352941176511</v>
      </c>
    </row>
    <row r="20" spans="1:4" ht="12.3" x14ac:dyDescent="0.4">
      <c r="A20" s="1">
        <f t="shared" si="2"/>
        <v>90000</v>
      </c>
      <c r="B20">
        <v>89711.46</v>
      </c>
      <c r="C20" s="1">
        <f t="shared" si="0"/>
        <v>288.5399999999936</v>
      </c>
      <c r="D20" s="1">
        <f t="shared" si="1"/>
        <v>0.32059999999999289</v>
      </c>
    </row>
    <row r="21" spans="1:4" ht="12.3" x14ac:dyDescent="0.4">
      <c r="A21" s="1">
        <f t="shared" si="2"/>
        <v>95000</v>
      </c>
      <c r="B21">
        <v>93734.29</v>
      </c>
      <c r="C21" s="1">
        <f t="shared" si="0"/>
        <v>1265.7100000000064</v>
      </c>
      <c r="D21" s="1">
        <f t="shared" si="1"/>
        <v>1.3323263157894805</v>
      </c>
    </row>
    <row r="22" spans="1:4" ht="12.3" x14ac:dyDescent="0.4">
      <c r="A22" s="1">
        <f t="shared" si="2"/>
        <v>100000</v>
      </c>
      <c r="B22">
        <v>97776.44</v>
      </c>
      <c r="C22" s="1">
        <f t="shared" si="0"/>
        <v>2223.5599999999977</v>
      </c>
      <c r="D22" s="1">
        <f t="shared" si="1"/>
        <v>2.2235599999999978</v>
      </c>
    </row>
    <row r="23" spans="1:4" ht="15.75" customHeight="1" x14ac:dyDescent="0.4">
      <c r="A23" s="1">
        <f>A22+50000</f>
        <v>150000</v>
      </c>
      <c r="B23">
        <v>146554.51999999999</v>
      </c>
      <c r="C23" s="1">
        <f t="shared" si="0"/>
        <v>3445.4800000000105</v>
      </c>
      <c r="D23" s="1">
        <f t="shared" si="1"/>
        <v>2.2969866666666738</v>
      </c>
    </row>
    <row r="24" spans="1:4" ht="15.75" customHeight="1" x14ac:dyDescent="0.4">
      <c r="A24" s="1">
        <f t="shared" ref="A24:A39" si="3">A23+50000</f>
        <v>200000</v>
      </c>
      <c r="B24">
        <v>193025.82</v>
      </c>
      <c r="C24" s="1">
        <f t="shared" si="0"/>
        <v>6974.179999999993</v>
      </c>
      <c r="D24" s="1">
        <f t="shared" si="1"/>
        <v>3.4870899999999962</v>
      </c>
    </row>
    <row r="25" spans="1:4" ht="15.75" customHeight="1" x14ac:dyDescent="0.4">
      <c r="A25" s="1">
        <f t="shared" si="3"/>
        <v>250000</v>
      </c>
      <c r="B25">
        <v>246192.75200000001</v>
      </c>
      <c r="C25" s="1">
        <f t="shared" si="0"/>
        <v>3807.2479999999923</v>
      </c>
      <c r="D25" s="1">
        <f t="shared" si="1"/>
        <v>1.5228991999999968</v>
      </c>
    </row>
    <row r="26" spans="1:4" ht="15.75" customHeight="1" x14ac:dyDescent="0.4">
      <c r="A26" s="1">
        <f t="shared" si="3"/>
        <v>300000</v>
      </c>
      <c r="B26">
        <v>279004.7</v>
      </c>
      <c r="C26" s="1">
        <f t="shared" si="0"/>
        <v>20995.299999999988</v>
      </c>
      <c r="D26" s="1">
        <f t="shared" si="1"/>
        <v>6.9984333333333302</v>
      </c>
    </row>
    <row r="27" spans="1:4" ht="15.75" customHeight="1" x14ac:dyDescent="0.4">
      <c r="A27" s="1">
        <f t="shared" si="3"/>
        <v>350000</v>
      </c>
      <c r="B27">
        <v>328096.59999999998</v>
      </c>
      <c r="C27" s="1">
        <f t="shared" si="0"/>
        <v>21903.400000000023</v>
      </c>
      <c r="D27" s="1">
        <f t="shared" si="1"/>
        <v>6.2581142857142922</v>
      </c>
    </row>
    <row r="28" spans="1:4" ht="15.75" customHeight="1" x14ac:dyDescent="0.4">
      <c r="A28" s="1">
        <f t="shared" si="3"/>
        <v>400000</v>
      </c>
      <c r="B28">
        <v>387532.28</v>
      </c>
      <c r="C28" s="1">
        <f t="shared" si="0"/>
        <v>12467.719999999972</v>
      </c>
      <c r="D28" s="1">
        <f t="shared" si="1"/>
        <v>3.1169299999999933</v>
      </c>
    </row>
    <row r="29" spans="1:4" ht="15.75" customHeight="1" x14ac:dyDescent="0.4">
      <c r="A29" s="1">
        <f t="shared" si="3"/>
        <v>450000</v>
      </c>
      <c r="B29">
        <v>401010.3</v>
      </c>
      <c r="C29" s="1">
        <f>A29-B29</f>
        <v>48989.700000000012</v>
      </c>
      <c r="D29" s="1">
        <f>ABS((B29-A29)/A29)*100</f>
        <v>10.886600000000003</v>
      </c>
    </row>
    <row r="30" spans="1:4" ht="15.75" customHeight="1" x14ac:dyDescent="0.4">
      <c r="A30" s="1">
        <f t="shared" si="3"/>
        <v>500000</v>
      </c>
      <c r="B30">
        <v>445482.22</v>
      </c>
      <c r="C30" s="1">
        <f>A30-B30</f>
        <v>54517.780000000028</v>
      </c>
      <c r="D30" s="1">
        <f>ABS((B30-A30)/A30)*100</f>
        <v>10.903556000000005</v>
      </c>
    </row>
    <row r="31" spans="1:4" ht="15.75" customHeight="1" x14ac:dyDescent="0.4">
      <c r="A31" s="1">
        <f t="shared" si="3"/>
        <v>550000</v>
      </c>
      <c r="B31">
        <v>457616.84</v>
      </c>
      <c r="C31" s="1">
        <f t="shared" si="0"/>
        <v>92383.159999999974</v>
      </c>
      <c r="D31" s="1">
        <f t="shared" si="1"/>
        <v>16.796938181818177</v>
      </c>
    </row>
    <row r="32" spans="1:4" ht="15.75" customHeight="1" x14ac:dyDescent="0.4">
      <c r="A32" s="1">
        <f>A31+50000</f>
        <v>600000</v>
      </c>
      <c r="B32">
        <v>563671.9</v>
      </c>
      <c r="C32" s="1">
        <f t="shared" si="0"/>
        <v>36328.099999999977</v>
      </c>
      <c r="D32" s="1">
        <f t="shared" si="1"/>
        <v>6.0546833333333296</v>
      </c>
    </row>
    <row r="33" spans="1:4" ht="15.75" customHeight="1" x14ac:dyDescent="0.4">
      <c r="A33" s="1">
        <f t="shared" si="3"/>
        <v>650000</v>
      </c>
      <c r="B33">
        <v>621328.30000000005</v>
      </c>
      <c r="C33" s="1">
        <f t="shared" si="0"/>
        <v>28671.699999999953</v>
      </c>
      <c r="D33" s="1">
        <f t="shared" si="1"/>
        <v>4.411030769230762</v>
      </c>
    </row>
    <row r="34" spans="1:4" ht="15.75" customHeight="1" x14ac:dyDescent="0.4">
      <c r="A34" s="1">
        <f t="shared" si="3"/>
        <v>700000</v>
      </c>
      <c r="B34">
        <v>647635.80000000005</v>
      </c>
      <c r="C34" s="1">
        <f t="shared" si="0"/>
        <v>52364.199999999953</v>
      </c>
      <c r="D34" s="1">
        <f t="shared" si="1"/>
        <v>7.4805999999999928</v>
      </c>
    </row>
    <row r="35" spans="1:4" ht="15.75" customHeight="1" x14ac:dyDescent="0.4">
      <c r="A35" s="1">
        <f t="shared" si="3"/>
        <v>750000</v>
      </c>
      <c r="B35">
        <v>691317.56799999997</v>
      </c>
      <c r="C35" s="1">
        <f t="shared" si="0"/>
        <v>58682.43200000003</v>
      </c>
      <c r="D35" s="1">
        <f t="shared" si="1"/>
        <v>7.8243242666666717</v>
      </c>
    </row>
    <row r="36" spans="1:4" ht="15.75" customHeight="1" x14ac:dyDescent="0.4">
      <c r="A36" s="1">
        <f t="shared" si="3"/>
        <v>800000</v>
      </c>
      <c r="B36">
        <v>732242.9</v>
      </c>
      <c r="C36" s="1">
        <f t="shared" si="0"/>
        <v>67757.099999999977</v>
      </c>
      <c r="D36" s="1">
        <f t="shared" si="1"/>
        <v>8.4696374999999975</v>
      </c>
    </row>
    <row r="37" spans="1:4" ht="15.75" customHeight="1" x14ac:dyDescent="0.4">
      <c r="A37" s="1">
        <f t="shared" si="3"/>
        <v>850000</v>
      </c>
      <c r="B37">
        <v>740990</v>
      </c>
      <c r="C37" s="1">
        <f t="shared" si="0"/>
        <v>109010</v>
      </c>
      <c r="D37" s="1">
        <f t="shared" si="1"/>
        <v>12.824705882352941</v>
      </c>
    </row>
    <row r="38" spans="1:4" ht="15.75" customHeight="1" x14ac:dyDescent="0.4">
      <c r="A38" s="1">
        <f t="shared" si="3"/>
        <v>900000</v>
      </c>
      <c r="B38">
        <v>727943.7</v>
      </c>
      <c r="C38" s="1">
        <f t="shared" si="0"/>
        <v>172056.30000000005</v>
      </c>
      <c r="D38" s="1">
        <f t="shared" si="1"/>
        <v>19.117366666666673</v>
      </c>
    </row>
    <row r="39" spans="1:4" ht="15.75" customHeight="1" x14ac:dyDescent="0.4">
      <c r="A39" s="1">
        <f t="shared" si="3"/>
        <v>950000</v>
      </c>
      <c r="B39">
        <v>754491.4</v>
      </c>
      <c r="C39" s="1">
        <f t="shared" si="0"/>
        <v>195508.59999999998</v>
      </c>
      <c r="D39" s="1">
        <f t="shared" si="1"/>
        <v>20.579852631578945</v>
      </c>
    </row>
    <row r="40" spans="1:4" ht="15.75" customHeight="1" x14ac:dyDescent="0.4">
      <c r="A40" s="1">
        <f>A39+50000</f>
        <v>1000000</v>
      </c>
      <c r="B40">
        <v>852292.1</v>
      </c>
      <c r="C40" s="1">
        <f t="shared" si="0"/>
        <v>147707.90000000002</v>
      </c>
      <c r="D40" s="1">
        <f t="shared" si="1"/>
        <v>14.770790000000003</v>
      </c>
    </row>
    <row r="41" spans="1:4" ht="15.75" customHeight="1" x14ac:dyDescent="0.4">
      <c r="A41" s="1"/>
    </row>
    <row r="42" spans="1:4" ht="15.75" customHeight="1" x14ac:dyDescent="0.4">
      <c r="A42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2F8D-567E-4CD0-B754-A51187854DB3}">
  <dimension ref="A1:D40"/>
  <sheetViews>
    <sheetView workbookViewId="0">
      <selection activeCell="A40" sqref="A40"/>
    </sheetView>
  </sheetViews>
  <sheetFormatPr defaultRowHeight="12.3" x14ac:dyDescent="0.4"/>
  <cols>
    <col min="1" max="1" width="34.77734375" customWidth="1"/>
    <col min="2" max="2" width="34.33203125" customWidth="1"/>
    <col min="3" max="3" width="19.6640625" customWidth="1"/>
    <col min="4" max="4" width="28.109375" customWidth="1"/>
  </cols>
  <sheetData>
    <row r="1" spans="1:4" x14ac:dyDescent="0.4">
      <c r="A1" s="1" t="s">
        <v>0</v>
      </c>
      <c r="B1" s="1" t="s">
        <v>3</v>
      </c>
      <c r="C1" s="1" t="s">
        <v>1</v>
      </c>
      <c r="D1" s="1" t="s">
        <v>2</v>
      </c>
    </row>
    <row r="2" spans="1:4" x14ac:dyDescent="0.4">
      <c r="A2" s="1">
        <v>1000</v>
      </c>
      <c r="B2" s="1">
        <v>1032.4749999999999</v>
      </c>
      <c r="C2" s="1">
        <f t="shared" ref="C2:C39" si="0">A2-B2</f>
        <v>-32.474999999999909</v>
      </c>
      <c r="D2" s="1">
        <f>ABS((B2-A2)/A2)*100</f>
        <v>3.2474999999999907</v>
      </c>
    </row>
    <row r="3" spans="1:4" x14ac:dyDescent="0.4">
      <c r="A3" s="1">
        <f>5000</f>
        <v>5000</v>
      </c>
      <c r="B3" s="1">
        <v>5023.6099999999997</v>
      </c>
      <c r="C3" s="1">
        <f t="shared" si="0"/>
        <v>-23.609999999999673</v>
      </c>
      <c r="D3" s="1">
        <f t="shared" ref="D3:D39" si="1">ABS((B3-A3)/A3)*100</f>
        <v>0.47219999999999346</v>
      </c>
    </row>
    <row r="4" spans="1:4" x14ac:dyDescent="0.4">
      <c r="A4" s="1">
        <f>A3+5000</f>
        <v>10000</v>
      </c>
      <c r="B4" s="1">
        <v>10016.937</v>
      </c>
      <c r="C4" s="1">
        <f t="shared" si="0"/>
        <v>-16.936999999999898</v>
      </c>
      <c r="D4" s="1">
        <f t="shared" si="1"/>
        <v>0.16936999999999899</v>
      </c>
    </row>
    <row r="5" spans="1:4" x14ac:dyDescent="0.4">
      <c r="A5" s="1">
        <f t="shared" ref="A5:A22" si="2">A4+5000</f>
        <v>15000</v>
      </c>
      <c r="B5" s="1">
        <v>15038.4</v>
      </c>
      <c r="C5" s="1">
        <f t="shared" si="0"/>
        <v>-38.399999999999636</v>
      </c>
      <c r="D5" s="1">
        <f t="shared" si="1"/>
        <v>0.25599999999999762</v>
      </c>
    </row>
    <row r="6" spans="1:4" x14ac:dyDescent="0.4">
      <c r="A6" s="1">
        <f t="shared" si="2"/>
        <v>20000</v>
      </c>
      <c r="B6" s="1">
        <v>20017.367999999999</v>
      </c>
      <c r="C6" s="1">
        <f t="shared" si="0"/>
        <v>-17.367999999998574</v>
      </c>
      <c r="D6" s="1">
        <f t="shared" si="1"/>
        <v>8.6839999999992867E-2</v>
      </c>
    </row>
    <row r="7" spans="1:4" x14ac:dyDescent="0.4">
      <c r="A7" s="1">
        <f t="shared" si="2"/>
        <v>25000</v>
      </c>
      <c r="B7" s="1">
        <v>25051.67</v>
      </c>
      <c r="C7" s="1">
        <f t="shared" si="0"/>
        <v>-51.669999999998254</v>
      </c>
      <c r="D7" s="1">
        <f t="shared" si="1"/>
        <v>0.20667999999999304</v>
      </c>
    </row>
    <row r="8" spans="1:4" x14ac:dyDescent="0.4">
      <c r="A8" s="1">
        <f t="shared" si="2"/>
        <v>30000</v>
      </c>
      <c r="B8" s="1">
        <v>30360.848000000002</v>
      </c>
      <c r="C8" s="1">
        <f t="shared" si="0"/>
        <v>-360.84800000000178</v>
      </c>
      <c r="D8" s="1">
        <f t="shared" si="1"/>
        <v>1.2028266666666727</v>
      </c>
    </row>
    <row r="9" spans="1:4" x14ac:dyDescent="0.4">
      <c r="A9" s="1">
        <f t="shared" si="2"/>
        <v>35000</v>
      </c>
      <c r="B9" s="1">
        <v>35155.199999999997</v>
      </c>
      <c r="C9" s="1">
        <f t="shared" si="0"/>
        <v>-155.19999999999709</v>
      </c>
      <c r="D9" s="1">
        <f t="shared" si="1"/>
        <v>0.44342857142856312</v>
      </c>
    </row>
    <row r="10" spans="1:4" x14ac:dyDescent="0.4">
      <c r="A10" s="1">
        <f t="shared" si="2"/>
        <v>40000</v>
      </c>
      <c r="B10" s="1">
        <v>40610.591999999997</v>
      </c>
      <c r="C10" s="1">
        <f t="shared" si="0"/>
        <v>-610.59199999999691</v>
      </c>
      <c r="D10" s="1">
        <f t="shared" si="1"/>
        <v>1.5264799999999923</v>
      </c>
    </row>
    <row r="11" spans="1:4" x14ac:dyDescent="0.4">
      <c r="A11" s="1">
        <f t="shared" si="2"/>
        <v>45000</v>
      </c>
      <c r="B11" s="1">
        <v>44539.315999999999</v>
      </c>
      <c r="C11" s="1">
        <f t="shared" si="0"/>
        <v>460.68400000000111</v>
      </c>
      <c r="D11" s="1">
        <f t="shared" si="1"/>
        <v>1.0237422222222248</v>
      </c>
    </row>
    <row r="12" spans="1:4" x14ac:dyDescent="0.4">
      <c r="A12" s="1">
        <f t="shared" si="2"/>
        <v>50000</v>
      </c>
      <c r="B12" s="1">
        <v>50526.45</v>
      </c>
      <c r="C12" s="1">
        <f t="shared" si="0"/>
        <v>-526.44999999999709</v>
      </c>
      <c r="D12" s="1">
        <f t="shared" si="1"/>
        <v>1.0528999999999942</v>
      </c>
    </row>
    <row r="13" spans="1:4" x14ac:dyDescent="0.4">
      <c r="A13" s="1">
        <f t="shared" si="2"/>
        <v>55000</v>
      </c>
      <c r="B13" s="1">
        <v>55562.26</v>
      </c>
      <c r="C13" s="1">
        <f t="shared" si="0"/>
        <v>-562.26000000000204</v>
      </c>
      <c r="D13" s="1">
        <f t="shared" si="1"/>
        <v>1.0222909090909127</v>
      </c>
    </row>
    <row r="14" spans="1:4" x14ac:dyDescent="0.4">
      <c r="A14" s="1">
        <f t="shared" si="2"/>
        <v>60000</v>
      </c>
      <c r="B14" s="1">
        <v>61042.96</v>
      </c>
      <c r="C14" s="1">
        <f t="shared" si="0"/>
        <v>-1042.9599999999991</v>
      </c>
      <c r="D14" s="1">
        <f t="shared" si="1"/>
        <v>1.7382666666666651</v>
      </c>
    </row>
    <row r="15" spans="1:4" x14ac:dyDescent="0.4">
      <c r="A15" s="1">
        <f t="shared" si="2"/>
        <v>65000</v>
      </c>
      <c r="B15">
        <v>65566.039999999994</v>
      </c>
      <c r="C15" s="1">
        <f t="shared" si="0"/>
        <v>-566.0399999999936</v>
      </c>
      <c r="D15" s="1">
        <f t="shared" si="1"/>
        <v>0.87083076923075931</v>
      </c>
    </row>
    <row r="16" spans="1:4" x14ac:dyDescent="0.4">
      <c r="A16" s="1">
        <f>A15+5000</f>
        <v>70000</v>
      </c>
      <c r="B16">
        <v>71023.551999999996</v>
      </c>
      <c r="C16" s="1">
        <f t="shared" si="0"/>
        <v>-1023.551999999996</v>
      </c>
      <c r="D16" s="1">
        <f t="shared" si="1"/>
        <v>1.4622171428571373</v>
      </c>
    </row>
    <row r="17" spans="1:4" x14ac:dyDescent="0.4">
      <c r="A17" s="1">
        <f t="shared" si="2"/>
        <v>75000</v>
      </c>
      <c r="B17">
        <v>75710.05</v>
      </c>
      <c r="C17" s="1">
        <f t="shared" si="0"/>
        <v>-710.05000000000291</v>
      </c>
      <c r="D17" s="1">
        <f t="shared" si="1"/>
        <v>0.94673333333333731</v>
      </c>
    </row>
    <row r="18" spans="1:4" x14ac:dyDescent="0.4">
      <c r="A18" s="1">
        <f t="shared" si="2"/>
        <v>80000</v>
      </c>
      <c r="B18">
        <v>81024.3</v>
      </c>
      <c r="C18" s="1">
        <f t="shared" si="0"/>
        <v>-1024.3000000000029</v>
      </c>
      <c r="D18" s="1">
        <f t="shared" si="1"/>
        <v>1.2803750000000036</v>
      </c>
    </row>
    <row r="19" spans="1:4" x14ac:dyDescent="0.4">
      <c r="A19" s="1">
        <f t="shared" si="2"/>
        <v>85000</v>
      </c>
      <c r="B19">
        <v>86145.448000000004</v>
      </c>
      <c r="C19" s="1">
        <f t="shared" si="0"/>
        <v>-1145.448000000004</v>
      </c>
      <c r="D19" s="1">
        <f t="shared" si="1"/>
        <v>1.3475858823529459</v>
      </c>
    </row>
    <row r="20" spans="1:4" x14ac:dyDescent="0.4">
      <c r="A20" s="1">
        <f t="shared" si="2"/>
        <v>90000</v>
      </c>
      <c r="B20">
        <v>91863.05</v>
      </c>
      <c r="C20" s="1">
        <f t="shared" si="0"/>
        <v>-1863.0500000000029</v>
      </c>
      <c r="D20" s="1">
        <f t="shared" si="1"/>
        <v>2.0700555555555589</v>
      </c>
    </row>
    <row r="21" spans="1:4" x14ac:dyDescent="0.4">
      <c r="A21" s="1">
        <f t="shared" si="2"/>
        <v>95000</v>
      </c>
      <c r="B21">
        <v>96030.53</v>
      </c>
      <c r="C21" s="1">
        <f t="shared" si="0"/>
        <v>-1030.5299999999988</v>
      </c>
      <c r="D21" s="1">
        <f t="shared" si="1"/>
        <v>1.0847684210526303</v>
      </c>
    </row>
    <row r="22" spans="1:4" x14ac:dyDescent="0.4">
      <c r="A22" s="1">
        <f t="shared" si="2"/>
        <v>100000</v>
      </c>
      <c r="B22">
        <v>101958.43</v>
      </c>
      <c r="C22" s="1">
        <f t="shared" si="0"/>
        <v>-1958.429999999993</v>
      </c>
      <c r="D22" s="1">
        <f t="shared" si="1"/>
        <v>1.958429999999993</v>
      </c>
    </row>
    <row r="23" spans="1:4" x14ac:dyDescent="0.4">
      <c r="A23" s="1">
        <f>A22+50000</f>
        <v>150000</v>
      </c>
      <c r="B23">
        <v>151952.16</v>
      </c>
      <c r="C23" s="1">
        <f t="shared" si="0"/>
        <v>-1952.1600000000035</v>
      </c>
      <c r="D23" s="1">
        <f t="shared" si="1"/>
        <v>1.3014400000000024</v>
      </c>
    </row>
    <row r="24" spans="1:4" x14ac:dyDescent="0.4">
      <c r="A24" s="1">
        <f t="shared" ref="A24:A39" si="3">A23+50000</f>
        <v>200000</v>
      </c>
      <c r="B24">
        <v>206628.61600000001</v>
      </c>
      <c r="C24" s="1">
        <f t="shared" si="0"/>
        <v>-6628.6160000000091</v>
      </c>
      <c r="D24" s="1">
        <f t="shared" si="1"/>
        <v>3.3143080000000049</v>
      </c>
    </row>
    <row r="25" spans="1:4" x14ac:dyDescent="0.4">
      <c r="A25" s="1">
        <f t="shared" si="3"/>
        <v>250000</v>
      </c>
      <c r="B25">
        <v>255718.64</v>
      </c>
      <c r="C25" s="1">
        <f t="shared" si="0"/>
        <v>-5718.640000000014</v>
      </c>
      <c r="D25" s="1">
        <f t="shared" si="1"/>
        <v>2.2874560000000055</v>
      </c>
    </row>
    <row r="26" spans="1:4" x14ac:dyDescent="0.4">
      <c r="A26" s="1">
        <f t="shared" si="3"/>
        <v>300000</v>
      </c>
      <c r="B26">
        <v>310682.78000000003</v>
      </c>
      <c r="C26" s="1">
        <f t="shared" si="0"/>
        <v>-10682.780000000028</v>
      </c>
      <c r="D26" s="1">
        <f t="shared" si="1"/>
        <v>3.5609266666666759</v>
      </c>
    </row>
    <row r="27" spans="1:4" x14ac:dyDescent="0.4">
      <c r="A27" s="1">
        <f t="shared" si="3"/>
        <v>350000</v>
      </c>
      <c r="B27">
        <v>365268.9</v>
      </c>
      <c r="C27" s="1">
        <f t="shared" si="0"/>
        <v>-15268.900000000023</v>
      </c>
      <c r="D27" s="1">
        <f t="shared" si="1"/>
        <v>4.3625428571428637</v>
      </c>
    </row>
    <row r="28" spans="1:4" x14ac:dyDescent="0.4">
      <c r="A28" s="1">
        <f t="shared" si="3"/>
        <v>400000</v>
      </c>
      <c r="B28">
        <v>418369.95199999999</v>
      </c>
      <c r="C28" s="1">
        <f t="shared" si="0"/>
        <v>-18369.95199999999</v>
      </c>
      <c r="D28" s="1">
        <f t="shared" si="1"/>
        <v>4.5924879999999977</v>
      </c>
    </row>
    <row r="29" spans="1:4" x14ac:dyDescent="0.4">
      <c r="A29" s="1">
        <f t="shared" si="3"/>
        <v>450000</v>
      </c>
      <c r="B29">
        <v>477980.36</v>
      </c>
      <c r="C29" s="1">
        <f>A29-B29</f>
        <v>-27980.359999999986</v>
      </c>
      <c r="D29" s="1">
        <f>ABS((B29-A29)/A29)*100</f>
        <v>6.2178577777777742</v>
      </c>
    </row>
    <row r="30" spans="1:4" x14ac:dyDescent="0.4">
      <c r="A30" s="1">
        <f t="shared" si="3"/>
        <v>500000</v>
      </c>
      <c r="B30">
        <v>529005.92000000004</v>
      </c>
      <c r="C30" s="1">
        <f>A30-B30</f>
        <v>-29005.920000000042</v>
      </c>
      <c r="D30" s="1">
        <f>ABS((B30-A30)/A30)*100</f>
        <v>5.8011840000000081</v>
      </c>
    </row>
    <row r="31" spans="1:4" x14ac:dyDescent="0.4">
      <c r="A31" s="1">
        <f t="shared" si="3"/>
        <v>550000</v>
      </c>
      <c r="B31">
        <v>579872.69999999995</v>
      </c>
      <c r="C31" s="1">
        <f t="shared" si="0"/>
        <v>-29872.699999999953</v>
      </c>
      <c r="D31" s="1">
        <f t="shared" si="1"/>
        <v>5.431399999999992</v>
      </c>
    </row>
    <row r="32" spans="1:4" x14ac:dyDescent="0.4">
      <c r="A32" s="1">
        <f>A31+50000</f>
        <v>600000</v>
      </c>
      <c r="B32">
        <v>665179.56000000006</v>
      </c>
      <c r="C32" s="1">
        <f>A32-B32</f>
        <v>-65179.560000000056</v>
      </c>
      <c r="D32" s="1">
        <f>ABS((B32-A32)/A32)*100</f>
        <v>10.863260000000009</v>
      </c>
    </row>
    <row r="33" spans="1:4" x14ac:dyDescent="0.4">
      <c r="A33" s="1">
        <f t="shared" si="3"/>
        <v>650000</v>
      </c>
      <c r="B33">
        <v>695211.9</v>
      </c>
      <c r="C33" s="1">
        <f>A33-B33</f>
        <v>-45211.900000000023</v>
      </c>
      <c r="D33" s="1">
        <f>ABS((B33-A33)/A33)*100</f>
        <v>6.9556769230769273</v>
      </c>
    </row>
    <row r="34" spans="1:4" x14ac:dyDescent="0.4">
      <c r="A34" s="1">
        <f t="shared" si="3"/>
        <v>700000</v>
      </c>
      <c r="B34">
        <v>768470.72</v>
      </c>
      <c r="C34" s="1">
        <f t="shared" si="0"/>
        <v>-68470.719999999972</v>
      </c>
      <c r="D34" s="1">
        <f t="shared" si="1"/>
        <v>9.7815314285714248</v>
      </c>
    </row>
    <row r="35" spans="1:4" x14ac:dyDescent="0.4">
      <c r="A35" s="1">
        <f t="shared" si="3"/>
        <v>750000</v>
      </c>
      <c r="B35">
        <v>813558.6</v>
      </c>
      <c r="C35" s="1">
        <f t="shared" si="0"/>
        <v>-63558.599999999977</v>
      </c>
      <c r="D35" s="1">
        <f t="shared" si="1"/>
        <v>8.4744799999999962</v>
      </c>
    </row>
    <row r="36" spans="1:4" x14ac:dyDescent="0.4">
      <c r="A36" s="1">
        <f t="shared" si="3"/>
        <v>800000</v>
      </c>
      <c r="B36">
        <v>864019.6</v>
      </c>
      <c r="C36" s="1">
        <f t="shared" si="0"/>
        <v>-64019.599999999977</v>
      </c>
      <c r="D36" s="1">
        <f t="shared" si="1"/>
        <v>8.0024499999999978</v>
      </c>
    </row>
    <row r="37" spans="1:4" x14ac:dyDescent="0.4">
      <c r="A37" s="1">
        <f t="shared" si="3"/>
        <v>850000</v>
      </c>
      <c r="B37">
        <v>977829.1</v>
      </c>
      <c r="C37" s="1">
        <f t="shared" si="0"/>
        <v>-127829.09999999998</v>
      </c>
      <c r="D37" s="1">
        <f t="shared" si="1"/>
        <v>15.038717647058823</v>
      </c>
    </row>
    <row r="38" spans="1:4" x14ac:dyDescent="0.4">
      <c r="A38" s="1">
        <f t="shared" si="3"/>
        <v>900000</v>
      </c>
      <c r="B38">
        <v>1000980.1</v>
      </c>
      <c r="C38" s="1">
        <f t="shared" si="0"/>
        <v>-100980.09999999998</v>
      </c>
      <c r="D38" s="1">
        <f t="shared" si="1"/>
        <v>11.220011111111109</v>
      </c>
    </row>
    <row r="39" spans="1:4" x14ac:dyDescent="0.4">
      <c r="A39" s="1">
        <f t="shared" si="3"/>
        <v>950000</v>
      </c>
      <c r="B39">
        <v>1050613.2</v>
      </c>
      <c r="C39" s="1">
        <f t="shared" si="0"/>
        <v>-100613.19999999995</v>
      </c>
      <c r="D39" s="1">
        <f t="shared" si="1"/>
        <v>10.590863157894733</v>
      </c>
    </row>
    <row r="40" spans="1:4" x14ac:dyDescent="0.4">
      <c r="A40" s="1">
        <f>A39+50000</f>
        <v>1000000</v>
      </c>
      <c r="B40">
        <v>1134694.3999999999</v>
      </c>
      <c r="C40" s="1">
        <f>A40-B40</f>
        <v>-134694.39999999991</v>
      </c>
      <c r="D40" s="1">
        <f>ABS((B40-A40)/A40)*100</f>
        <v>13.469439999999992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4A0EA-AC92-4F59-8CC8-8AE808E2573F}">
  <dimension ref="A1:D40"/>
  <sheetViews>
    <sheetView topLeftCell="A17" workbookViewId="0">
      <selection activeCell="B40" sqref="B40"/>
    </sheetView>
  </sheetViews>
  <sheetFormatPr defaultRowHeight="12.3" x14ac:dyDescent="0.4"/>
  <cols>
    <col min="1" max="1" width="29.5546875" customWidth="1"/>
    <col min="2" max="2" width="32.33203125" customWidth="1"/>
    <col min="3" max="3" width="16.21875" customWidth="1"/>
    <col min="4" max="4" width="15.109375" customWidth="1"/>
  </cols>
  <sheetData>
    <row r="1" spans="1:4" x14ac:dyDescent="0.4">
      <c r="A1" s="1" t="s">
        <v>0</v>
      </c>
      <c r="B1" s="1" t="s">
        <v>3</v>
      </c>
      <c r="C1" s="1" t="s">
        <v>1</v>
      </c>
      <c r="D1" s="1" t="s">
        <v>2</v>
      </c>
    </row>
    <row r="2" spans="1:4" x14ac:dyDescent="0.4">
      <c r="A2" s="1">
        <v>1000</v>
      </c>
      <c r="B2" s="1">
        <v>1072.4046000000001</v>
      </c>
      <c r="C2" s="1">
        <f t="shared" ref="C2:C39" si="0">A2-B2</f>
        <v>-72.404600000000073</v>
      </c>
      <c r="D2" s="1">
        <f>ABS((B2-A2)/A2)*100</f>
        <v>7.2404600000000068</v>
      </c>
    </row>
    <row r="3" spans="1:4" x14ac:dyDescent="0.4">
      <c r="A3" s="1">
        <f>5000</f>
        <v>5000</v>
      </c>
      <c r="B3" s="1">
        <v>5084.26</v>
      </c>
      <c r="C3" s="1">
        <f t="shared" si="0"/>
        <v>-84.260000000000218</v>
      </c>
      <c r="D3" s="1">
        <f t="shared" ref="D3:D39" si="1">ABS((B3-A3)/A3)*100</f>
        <v>1.6852000000000045</v>
      </c>
    </row>
    <row r="4" spans="1:4" x14ac:dyDescent="0.4">
      <c r="A4" s="1">
        <f>A3+5000</f>
        <v>10000</v>
      </c>
      <c r="B4" s="1">
        <v>10125.574000000001</v>
      </c>
      <c r="C4" s="1">
        <f t="shared" si="0"/>
        <v>-125.57400000000052</v>
      </c>
      <c r="D4" s="1">
        <f t="shared" si="1"/>
        <v>1.2557400000000052</v>
      </c>
    </row>
    <row r="5" spans="1:4" x14ac:dyDescent="0.4">
      <c r="A5" s="1">
        <f t="shared" ref="A5:A22" si="2">A4+5000</f>
        <v>15000</v>
      </c>
      <c r="B5" s="1">
        <v>15131.352999999999</v>
      </c>
      <c r="C5" s="1">
        <f t="shared" si="0"/>
        <v>-131.35299999999916</v>
      </c>
      <c r="D5" s="1">
        <f t="shared" si="1"/>
        <v>0.87568666666666106</v>
      </c>
    </row>
    <row r="6" spans="1:4" x14ac:dyDescent="0.4">
      <c r="A6" s="1">
        <f t="shared" si="2"/>
        <v>20000</v>
      </c>
      <c r="B6" s="1">
        <v>20231.574000000001</v>
      </c>
      <c r="C6" s="1">
        <f t="shared" si="0"/>
        <v>-231.57400000000052</v>
      </c>
      <c r="D6" s="1">
        <f t="shared" si="1"/>
        <v>1.1578700000000026</v>
      </c>
    </row>
    <row r="7" spans="1:4" x14ac:dyDescent="0.4">
      <c r="A7" s="1">
        <f t="shared" si="2"/>
        <v>25000</v>
      </c>
      <c r="B7" s="1">
        <v>25305.732</v>
      </c>
      <c r="C7" s="1">
        <f t="shared" si="0"/>
        <v>-305.73199999999997</v>
      </c>
      <c r="D7" s="1">
        <f t="shared" si="1"/>
        <v>1.2229279999999998</v>
      </c>
    </row>
    <row r="8" spans="1:4" x14ac:dyDescent="0.4">
      <c r="A8" s="1">
        <f t="shared" si="2"/>
        <v>30000</v>
      </c>
      <c r="B8" s="1">
        <v>30422.998</v>
      </c>
      <c r="C8" s="1">
        <f t="shared" si="0"/>
        <v>-422.99799999999959</v>
      </c>
      <c r="D8" s="1">
        <f t="shared" si="1"/>
        <v>1.4099933333333319</v>
      </c>
    </row>
    <row r="9" spans="1:4" x14ac:dyDescent="0.4">
      <c r="A9" s="1">
        <f t="shared" si="2"/>
        <v>35000</v>
      </c>
      <c r="B9" s="1">
        <v>35573.188000000002</v>
      </c>
      <c r="C9" s="1">
        <f t="shared" si="0"/>
        <v>-573.18800000000192</v>
      </c>
      <c r="D9" s="1">
        <f t="shared" si="1"/>
        <v>1.6376800000000056</v>
      </c>
    </row>
    <row r="10" spans="1:4" x14ac:dyDescent="0.4">
      <c r="A10" s="1">
        <f t="shared" si="2"/>
        <v>40000</v>
      </c>
      <c r="B10" s="1">
        <v>40575.184000000001</v>
      </c>
      <c r="C10" s="1">
        <f t="shared" si="0"/>
        <v>-575.18400000000111</v>
      </c>
      <c r="D10" s="1">
        <f t="shared" si="1"/>
        <v>1.4379600000000028</v>
      </c>
    </row>
    <row r="11" spans="1:4" x14ac:dyDescent="0.4">
      <c r="A11" s="1">
        <f t="shared" si="2"/>
        <v>45000</v>
      </c>
      <c r="B11" s="1">
        <v>45628.72</v>
      </c>
      <c r="C11" s="1">
        <f t="shared" si="0"/>
        <v>-628.72000000000116</v>
      </c>
      <c r="D11" s="1">
        <f t="shared" si="1"/>
        <v>1.3971555555555581</v>
      </c>
    </row>
    <row r="12" spans="1:4" x14ac:dyDescent="0.4">
      <c r="A12" s="1">
        <f t="shared" si="2"/>
        <v>50000</v>
      </c>
      <c r="B12" s="1">
        <v>50744.523999999998</v>
      </c>
      <c r="C12" s="1">
        <f t="shared" si="0"/>
        <v>-744.52399999999761</v>
      </c>
      <c r="D12" s="1">
        <f t="shared" si="1"/>
        <v>1.4890479999999953</v>
      </c>
    </row>
    <row r="13" spans="1:4" x14ac:dyDescent="0.4">
      <c r="A13" s="1">
        <f t="shared" si="2"/>
        <v>55000</v>
      </c>
      <c r="B13" s="1">
        <v>55245.784</v>
      </c>
      <c r="C13" s="1">
        <f t="shared" si="0"/>
        <v>-245.78399999999965</v>
      </c>
      <c r="D13" s="1">
        <f t="shared" si="1"/>
        <v>0.44687999999999933</v>
      </c>
    </row>
    <row r="14" spans="1:4" x14ac:dyDescent="0.4">
      <c r="A14" s="1">
        <f t="shared" si="2"/>
        <v>60000</v>
      </c>
      <c r="B14" s="1">
        <v>61131</v>
      </c>
      <c r="C14" s="1">
        <f t="shared" si="0"/>
        <v>-1131</v>
      </c>
      <c r="D14" s="1">
        <f t="shared" si="1"/>
        <v>1.8849999999999998</v>
      </c>
    </row>
    <row r="15" spans="1:4" x14ac:dyDescent="0.4">
      <c r="A15" s="1">
        <f t="shared" si="2"/>
        <v>65000</v>
      </c>
      <c r="B15" s="1">
        <v>66246.710000000006</v>
      </c>
      <c r="C15" s="1">
        <f t="shared" si="0"/>
        <v>-1246.7100000000064</v>
      </c>
      <c r="D15" s="1">
        <f t="shared" si="1"/>
        <v>1.9180153846153944</v>
      </c>
    </row>
    <row r="16" spans="1:4" x14ac:dyDescent="0.4">
      <c r="A16" s="1">
        <f>A15+5000</f>
        <v>70000</v>
      </c>
      <c r="B16" s="1">
        <v>71544.570000000007</v>
      </c>
      <c r="C16" s="1">
        <f t="shared" si="0"/>
        <v>-1544.570000000007</v>
      </c>
      <c r="D16" s="1">
        <f t="shared" si="1"/>
        <v>2.2065285714285814</v>
      </c>
    </row>
    <row r="17" spans="1:4" x14ac:dyDescent="0.4">
      <c r="A17" s="1">
        <f t="shared" si="2"/>
        <v>75000</v>
      </c>
      <c r="B17" s="1">
        <v>76550.320000000007</v>
      </c>
      <c r="C17" s="1">
        <f t="shared" si="0"/>
        <v>-1550.320000000007</v>
      </c>
      <c r="D17" s="1">
        <f t="shared" si="1"/>
        <v>2.0670933333333426</v>
      </c>
    </row>
    <row r="18" spans="1:4" x14ac:dyDescent="0.4">
      <c r="A18" s="1">
        <f t="shared" si="2"/>
        <v>80000</v>
      </c>
      <c r="B18" s="1">
        <v>81663.06</v>
      </c>
      <c r="C18" s="1">
        <f t="shared" si="0"/>
        <v>-1663.0599999999977</v>
      </c>
      <c r="D18" s="1">
        <f t="shared" si="1"/>
        <v>2.078824999999997</v>
      </c>
    </row>
    <row r="19" spans="1:4" x14ac:dyDescent="0.4">
      <c r="A19" s="1">
        <f t="shared" si="2"/>
        <v>85000</v>
      </c>
      <c r="B19" s="1">
        <v>86956.14</v>
      </c>
      <c r="C19" s="1">
        <f t="shared" si="0"/>
        <v>-1956.1399999999994</v>
      </c>
      <c r="D19" s="1">
        <f t="shared" si="1"/>
        <v>2.3013411764705878</v>
      </c>
    </row>
    <row r="20" spans="1:4" x14ac:dyDescent="0.4">
      <c r="A20" s="1">
        <f t="shared" si="2"/>
        <v>90000</v>
      </c>
      <c r="B20" s="1">
        <v>92295.191999999995</v>
      </c>
      <c r="C20" s="1">
        <f t="shared" si="0"/>
        <v>-2295.1919999999955</v>
      </c>
      <c r="D20" s="1">
        <f t="shared" si="1"/>
        <v>2.5502133333333283</v>
      </c>
    </row>
    <row r="21" spans="1:4" x14ac:dyDescent="0.4">
      <c r="A21" s="1">
        <f t="shared" si="2"/>
        <v>95000</v>
      </c>
      <c r="B21" s="1">
        <v>96996.34</v>
      </c>
      <c r="C21" s="1">
        <f t="shared" si="0"/>
        <v>-1996.3399999999965</v>
      </c>
      <c r="D21" s="1">
        <f t="shared" si="1"/>
        <v>2.1014105263157856</v>
      </c>
    </row>
    <row r="22" spans="1:4" x14ac:dyDescent="0.4">
      <c r="A22" s="1">
        <f t="shared" si="2"/>
        <v>100000</v>
      </c>
      <c r="B22" s="1">
        <v>103298.768</v>
      </c>
      <c r="C22" s="1">
        <f t="shared" si="0"/>
        <v>-3298.7679999999964</v>
      </c>
      <c r="D22" s="1">
        <f t="shared" si="1"/>
        <v>3.2987679999999964</v>
      </c>
    </row>
    <row r="23" spans="1:4" x14ac:dyDescent="0.4">
      <c r="A23" s="1">
        <f>A22+50000</f>
        <v>150000</v>
      </c>
      <c r="B23" s="1">
        <v>156435.94</v>
      </c>
      <c r="C23" s="1">
        <f t="shared" si="0"/>
        <v>-6435.9400000000023</v>
      </c>
      <c r="D23" s="1">
        <f t="shared" si="1"/>
        <v>4.2906266666666681</v>
      </c>
    </row>
    <row r="24" spans="1:4" x14ac:dyDescent="0.4">
      <c r="A24" s="1">
        <f t="shared" ref="A24:A39" si="3">A23+50000</f>
        <v>200000</v>
      </c>
      <c r="B24" s="1">
        <v>211226.82</v>
      </c>
      <c r="C24" s="1">
        <f t="shared" si="0"/>
        <v>-11226.820000000007</v>
      </c>
      <c r="D24" s="1">
        <f t="shared" si="1"/>
        <v>5.6134100000000036</v>
      </c>
    </row>
    <row r="25" spans="1:4" x14ac:dyDescent="0.4">
      <c r="A25" s="1">
        <f t="shared" si="3"/>
        <v>250000</v>
      </c>
      <c r="B25" s="1">
        <v>265161.53999999998</v>
      </c>
      <c r="C25" s="1">
        <f t="shared" si="0"/>
        <v>-15161.539999999979</v>
      </c>
      <c r="D25" s="1">
        <f t="shared" si="1"/>
        <v>6.0646159999999911</v>
      </c>
    </row>
    <row r="26" spans="1:4" x14ac:dyDescent="0.4">
      <c r="A26" s="1">
        <f t="shared" si="3"/>
        <v>300000</v>
      </c>
      <c r="B26" s="1">
        <v>320565.86</v>
      </c>
      <c r="C26" s="1">
        <f t="shared" si="0"/>
        <v>-20565.859999999986</v>
      </c>
      <c r="D26" s="1">
        <f t="shared" si="1"/>
        <v>6.8552866666666619</v>
      </c>
    </row>
    <row r="27" spans="1:4" x14ac:dyDescent="0.4">
      <c r="A27" s="1">
        <f t="shared" si="3"/>
        <v>350000</v>
      </c>
      <c r="B27" s="1">
        <v>377508.84</v>
      </c>
      <c r="C27" s="1">
        <f t="shared" si="0"/>
        <v>-27508.840000000026</v>
      </c>
      <c r="D27" s="1">
        <f t="shared" si="1"/>
        <v>7.8596685714285783</v>
      </c>
    </row>
    <row r="28" spans="1:4" x14ac:dyDescent="0.4">
      <c r="A28" s="1">
        <f t="shared" si="3"/>
        <v>400000</v>
      </c>
      <c r="B28" s="1">
        <v>435933.33</v>
      </c>
      <c r="C28" s="1">
        <f t="shared" si="0"/>
        <v>-35933.330000000016</v>
      </c>
      <c r="D28" s="1">
        <f t="shared" si="1"/>
        <v>8.9833325000000048</v>
      </c>
    </row>
    <row r="29" spans="1:4" x14ac:dyDescent="0.4">
      <c r="A29" s="1">
        <f t="shared" si="3"/>
        <v>450000</v>
      </c>
      <c r="B29" s="1">
        <v>494532.9</v>
      </c>
      <c r="C29" s="1">
        <f>A29-B29</f>
        <v>-44532.900000000023</v>
      </c>
      <c r="D29" s="1">
        <f>ABS((B29-A29)/A29)*100</f>
        <v>9.8962000000000057</v>
      </c>
    </row>
    <row r="30" spans="1:4" x14ac:dyDescent="0.4">
      <c r="A30" s="1">
        <f t="shared" si="3"/>
        <v>500000</v>
      </c>
      <c r="B30" s="1">
        <v>567358.69999999995</v>
      </c>
      <c r="C30" s="1">
        <f>A30-B30</f>
        <v>-67358.699999999953</v>
      </c>
      <c r="D30" s="1">
        <f>ABS((B30-A30)/A30)*100</f>
        <v>13.47173999999999</v>
      </c>
    </row>
    <row r="31" spans="1:4" x14ac:dyDescent="0.4">
      <c r="A31" s="1">
        <f t="shared" si="3"/>
        <v>550000</v>
      </c>
      <c r="B31" s="1">
        <v>622729.72</v>
      </c>
      <c r="C31" s="1">
        <f t="shared" si="0"/>
        <v>-72729.719999999972</v>
      </c>
      <c r="D31" s="1">
        <f t="shared" si="1"/>
        <v>13.22358545454545</v>
      </c>
    </row>
    <row r="32" spans="1:4" x14ac:dyDescent="0.4">
      <c r="A32" s="1">
        <f>A31+50000</f>
        <v>600000</v>
      </c>
      <c r="B32" s="1">
        <v>681708.43599999999</v>
      </c>
      <c r="C32" s="1">
        <f>A32-B32</f>
        <v>-81708.435999999987</v>
      </c>
      <c r="D32" s="1">
        <f>ABS((B32-A32)/A32)*100</f>
        <v>13.618072666666665</v>
      </c>
    </row>
    <row r="33" spans="1:4" x14ac:dyDescent="0.4">
      <c r="A33" s="1">
        <f t="shared" si="3"/>
        <v>650000</v>
      </c>
      <c r="B33" s="1">
        <v>738883.9</v>
      </c>
      <c r="C33" s="1">
        <f>A33-B33</f>
        <v>-88883.900000000023</v>
      </c>
      <c r="D33" s="1">
        <f>ABS((B33-A33)/A33)*100</f>
        <v>13.674446153846157</v>
      </c>
    </row>
    <row r="34" spans="1:4" x14ac:dyDescent="0.4">
      <c r="A34" s="1">
        <f t="shared" si="3"/>
        <v>700000</v>
      </c>
      <c r="B34" s="1">
        <v>800823</v>
      </c>
      <c r="C34" s="1">
        <f t="shared" si="0"/>
        <v>-100823</v>
      </c>
      <c r="D34" s="1">
        <f t="shared" si="1"/>
        <v>14.403285714285714</v>
      </c>
    </row>
    <row r="35" spans="1:4" x14ac:dyDescent="0.4">
      <c r="A35" s="1">
        <f t="shared" si="3"/>
        <v>750000</v>
      </c>
      <c r="B35" s="1">
        <v>879696.92</v>
      </c>
      <c r="C35" s="1">
        <f t="shared" si="0"/>
        <v>-129696.92000000004</v>
      </c>
      <c r="D35" s="1">
        <f t="shared" si="1"/>
        <v>17.292922666666673</v>
      </c>
    </row>
    <row r="36" spans="1:4" x14ac:dyDescent="0.4">
      <c r="A36" s="1">
        <f t="shared" si="3"/>
        <v>800000</v>
      </c>
      <c r="B36" s="1">
        <v>952975.8</v>
      </c>
      <c r="C36" s="1">
        <f>A36-B36</f>
        <v>-152975.80000000005</v>
      </c>
      <c r="D36" s="1">
        <f>ABS((B36-A36)/A36)*100</f>
        <v>19.121975000000006</v>
      </c>
    </row>
    <row r="37" spans="1:4" x14ac:dyDescent="0.4">
      <c r="A37" s="1">
        <f t="shared" si="3"/>
        <v>850000</v>
      </c>
      <c r="B37" s="1">
        <v>1030611.04</v>
      </c>
      <c r="C37" s="1">
        <f>A37-B37</f>
        <v>-180611.04000000004</v>
      </c>
      <c r="D37" s="1">
        <f>ABS((B37-A37)/A37)*100</f>
        <v>21.248357647058828</v>
      </c>
    </row>
    <row r="38" spans="1:4" x14ac:dyDescent="0.4">
      <c r="A38" s="1">
        <f t="shared" si="3"/>
        <v>900000</v>
      </c>
      <c r="B38" s="1">
        <v>1092654.3999999999</v>
      </c>
      <c r="C38" s="1">
        <f t="shared" si="0"/>
        <v>-192654.39999999991</v>
      </c>
      <c r="D38" s="1">
        <f t="shared" si="1"/>
        <v>21.406044444444433</v>
      </c>
    </row>
    <row r="39" spans="1:4" x14ac:dyDescent="0.4">
      <c r="A39" s="1">
        <f t="shared" si="3"/>
        <v>950000</v>
      </c>
      <c r="B39" s="1">
        <v>1173056.8</v>
      </c>
      <c r="C39" s="1">
        <f t="shared" si="0"/>
        <v>-223056.80000000005</v>
      </c>
      <c r="D39" s="1">
        <f t="shared" si="1"/>
        <v>23.479663157894741</v>
      </c>
    </row>
    <row r="40" spans="1:4" x14ac:dyDescent="0.4">
      <c r="A40" s="1">
        <f>A39+50000</f>
        <v>1000000</v>
      </c>
      <c r="B40" s="1">
        <v>1278437.5</v>
      </c>
      <c r="C40" s="1">
        <f>A40-B40</f>
        <v>-278437.5</v>
      </c>
      <c r="D40" s="1">
        <f>ABS((B40-A40)/A40)*100</f>
        <v>27.84375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07D4A-8DF4-43C5-B23B-FADCF3142A94}">
  <dimension ref="A1:D46"/>
  <sheetViews>
    <sheetView tabSelected="1" topLeftCell="A14" workbookViewId="0">
      <selection activeCell="C35" sqref="C35"/>
    </sheetView>
  </sheetViews>
  <sheetFormatPr defaultRowHeight="12.3" x14ac:dyDescent="0.4"/>
  <cols>
    <col min="1" max="1" width="35.6640625" customWidth="1"/>
    <col min="2" max="2" width="21.109375" customWidth="1"/>
    <col min="3" max="3" width="24.6640625" customWidth="1"/>
    <col min="4" max="4" width="28.77734375" customWidth="1"/>
  </cols>
  <sheetData>
    <row r="1" spans="1:4" x14ac:dyDescent="0.4">
      <c r="A1" s="1" t="s">
        <v>0</v>
      </c>
      <c r="B1" s="1" t="s">
        <v>3</v>
      </c>
      <c r="C1" s="1" t="s">
        <v>1</v>
      </c>
      <c r="D1" s="1" t="s">
        <v>2</v>
      </c>
    </row>
    <row r="2" spans="1:4" x14ac:dyDescent="0.4">
      <c r="A2" s="1">
        <v>1000</v>
      </c>
      <c r="B2">
        <v>1037.8240000000001</v>
      </c>
      <c r="C2" s="1">
        <f>A2-B2</f>
        <v>-37.824000000000069</v>
      </c>
      <c r="D2" s="1">
        <f>ABS((B2-A2)/A2)*100</f>
        <v>3.7824000000000066</v>
      </c>
    </row>
    <row r="3" spans="1:4" x14ac:dyDescent="0.4">
      <c r="A3" s="1">
        <f>5000</f>
        <v>5000</v>
      </c>
      <c r="B3" s="1">
        <v>4991.4539999999997</v>
      </c>
      <c r="C3" s="1">
        <f t="shared" ref="C3:C39" si="0">A3-B3</f>
        <v>8.5460000000002765</v>
      </c>
      <c r="D3" s="1">
        <f t="shared" ref="D3:D39" si="1">ABS((B3-A3)/A3)*100</f>
        <v>0.17092000000000551</v>
      </c>
    </row>
    <row r="4" spans="1:4" x14ac:dyDescent="0.4">
      <c r="A4" s="1">
        <f>A3+5000</f>
        <v>10000</v>
      </c>
      <c r="B4" s="1">
        <v>9911.1630000000005</v>
      </c>
      <c r="C4" s="1">
        <f t="shared" si="0"/>
        <v>88.836999999999534</v>
      </c>
      <c r="D4" s="1">
        <f t="shared" si="1"/>
        <v>0.88836999999999522</v>
      </c>
    </row>
    <row r="5" spans="1:4" x14ac:dyDescent="0.4">
      <c r="A5" s="1">
        <f t="shared" ref="A5:A22" si="2">A4+5000</f>
        <v>15000</v>
      </c>
      <c r="B5" s="1">
        <v>14848.003000000001</v>
      </c>
      <c r="C5" s="1">
        <f t="shared" si="0"/>
        <v>151.99699999999939</v>
      </c>
      <c r="D5" s="1">
        <f t="shared" si="1"/>
        <v>1.0133133333333293</v>
      </c>
    </row>
    <row r="6" spans="1:4" x14ac:dyDescent="0.4">
      <c r="A6" s="1">
        <f t="shared" si="2"/>
        <v>20000</v>
      </c>
      <c r="B6" s="1">
        <v>19858.93</v>
      </c>
      <c r="C6" s="1">
        <f t="shared" si="0"/>
        <v>141.06999999999971</v>
      </c>
      <c r="D6" s="1">
        <f t="shared" si="1"/>
        <v>0.70534999999999848</v>
      </c>
    </row>
    <row r="7" spans="1:4" x14ac:dyDescent="0.4">
      <c r="A7" s="1">
        <f t="shared" si="2"/>
        <v>25000</v>
      </c>
      <c r="B7" s="1">
        <v>24833.173999999999</v>
      </c>
      <c r="C7" s="1">
        <f t="shared" si="0"/>
        <v>166.82600000000093</v>
      </c>
      <c r="D7" s="1">
        <f t="shared" si="1"/>
        <v>0.66730400000000367</v>
      </c>
    </row>
    <row r="8" spans="1:4" x14ac:dyDescent="0.4">
      <c r="A8" s="1">
        <f t="shared" si="2"/>
        <v>30000</v>
      </c>
      <c r="B8" s="1">
        <v>29727.1</v>
      </c>
      <c r="C8" s="1">
        <f t="shared" si="0"/>
        <v>272.90000000000146</v>
      </c>
      <c r="D8" s="1">
        <f t="shared" si="1"/>
        <v>0.90966666666667151</v>
      </c>
    </row>
    <row r="9" spans="1:4" x14ac:dyDescent="0.4">
      <c r="A9" s="1">
        <f t="shared" si="2"/>
        <v>35000</v>
      </c>
      <c r="B9" s="1">
        <v>34747.964</v>
      </c>
      <c r="C9" s="1">
        <f>A9-B9</f>
        <v>252.03600000000006</v>
      </c>
      <c r="D9" s="1">
        <f t="shared" si="1"/>
        <v>0.72010285714285727</v>
      </c>
    </row>
    <row r="10" spans="1:4" x14ac:dyDescent="0.4">
      <c r="A10" s="1">
        <f t="shared" si="2"/>
        <v>40000</v>
      </c>
      <c r="B10" s="1">
        <v>39653.46</v>
      </c>
      <c r="C10" s="1">
        <f t="shared" si="0"/>
        <v>346.54000000000087</v>
      </c>
      <c r="D10" s="1">
        <f t="shared" si="1"/>
        <v>0.86635000000000217</v>
      </c>
    </row>
    <row r="11" spans="1:4" x14ac:dyDescent="0.4">
      <c r="A11" s="1">
        <f t="shared" si="2"/>
        <v>45000</v>
      </c>
      <c r="B11" s="1">
        <v>44516.65</v>
      </c>
      <c r="C11" s="1">
        <f t="shared" si="0"/>
        <v>483.34999999999854</v>
      </c>
      <c r="D11" s="1">
        <f t="shared" si="1"/>
        <v>1.0741111111111079</v>
      </c>
    </row>
    <row r="12" spans="1:4" x14ac:dyDescent="0.4">
      <c r="A12" s="1">
        <f t="shared" si="2"/>
        <v>50000</v>
      </c>
      <c r="B12" s="1">
        <v>47567.19</v>
      </c>
      <c r="C12" s="1">
        <f t="shared" si="0"/>
        <v>2432.8099999999977</v>
      </c>
      <c r="D12" s="1">
        <f t="shared" si="1"/>
        <v>4.8656199999999954</v>
      </c>
    </row>
    <row r="13" spans="1:4" x14ac:dyDescent="0.4">
      <c r="A13" s="1">
        <f t="shared" si="2"/>
        <v>55000</v>
      </c>
      <c r="B13" s="1">
        <v>54540.296000000002</v>
      </c>
      <c r="C13" s="1"/>
      <c r="D13" s="1">
        <f t="shared" si="1"/>
        <v>0.83582545454545065</v>
      </c>
    </row>
    <row r="14" spans="1:4" x14ac:dyDescent="0.4">
      <c r="A14" s="1">
        <f t="shared" si="2"/>
        <v>60000</v>
      </c>
      <c r="B14" s="1">
        <v>59443.61</v>
      </c>
      <c r="C14" s="1">
        <f t="shared" si="0"/>
        <v>556.38999999999942</v>
      </c>
      <c r="D14" s="1">
        <f t="shared" si="1"/>
        <v>0.92731666666666568</v>
      </c>
    </row>
    <row r="15" spans="1:4" x14ac:dyDescent="0.4">
      <c r="A15" s="1">
        <f t="shared" si="2"/>
        <v>65000</v>
      </c>
      <c r="B15" s="1">
        <v>64487.42</v>
      </c>
      <c r="C15" s="1">
        <f>A15-B15</f>
        <v>512.58000000000175</v>
      </c>
      <c r="D15" s="1">
        <f t="shared" si="1"/>
        <v>0.7885846153846181</v>
      </c>
    </row>
    <row r="16" spans="1:4" x14ac:dyDescent="0.4">
      <c r="A16" s="1">
        <f>A15+5000</f>
        <v>70000</v>
      </c>
      <c r="B16" s="1">
        <v>69472.38</v>
      </c>
      <c r="C16" s="1">
        <f>A16-B16</f>
        <v>527.61999999999534</v>
      </c>
      <c r="D16" s="1">
        <f t="shared" si="1"/>
        <v>0.7537428571428505</v>
      </c>
    </row>
    <row r="17" spans="1:4" x14ac:dyDescent="0.4">
      <c r="A17" s="1">
        <f t="shared" si="2"/>
        <v>75000</v>
      </c>
      <c r="B17" s="1">
        <v>74352.69</v>
      </c>
      <c r="C17" s="1">
        <f t="shared" si="0"/>
        <v>647.30999999999767</v>
      </c>
      <c r="D17" s="1">
        <f t="shared" si="1"/>
        <v>0.86307999999999696</v>
      </c>
    </row>
    <row r="18" spans="1:4" x14ac:dyDescent="0.4">
      <c r="A18" s="1">
        <f t="shared" si="2"/>
        <v>80000</v>
      </c>
      <c r="B18" s="1">
        <v>79311.259999999995</v>
      </c>
      <c r="C18" s="1">
        <f t="shared" si="0"/>
        <v>688.74000000000524</v>
      </c>
      <c r="D18" s="1">
        <f t="shared" si="1"/>
        <v>0.86092500000000649</v>
      </c>
    </row>
    <row r="19" spans="1:4" x14ac:dyDescent="0.4">
      <c r="A19" s="1">
        <f t="shared" si="2"/>
        <v>85000</v>
      </c>
      <c r="B19" s="1">
        <v>84313.34</v>
      </c>
      <c r="C19" s="1">
        <f t="shared" si="0"/>
        <v>686.66000000000349</v>
      </c>
      <c r="D19" s="1">
        <f t="shared" si="1"/>
        <v>0.8078352941176512</v>
      </c>
    </row>
    <row r="20" spans="1:4" x14ac:dyDescent="0.4">
      <c r="A20" s="1">
        <f t="shared" si="2"/>
        <v>90000</v>
      </c>
      <c r="B20" s="1">
        <v>89192.7</v>
      </c>
      <c r="C20" s="1">
        <f t="shared" si="0"/>
        <v>807.30000000000291</v>
      </c>
      <c r="D20" s="1">
        <f t="shared" si="1"/>
        <v>0.89700000000000313</v>
      </c>
    </row>
    <row r="21" spans="1:4" x14ac:dyDescent="0.4">
      <c r="A21" s="1">
        <f t="shared" si="2"/>
        <v>95000</v>
      </c>
      <c r="B21" s="1">
        <v>94014.31</v>
      </c>
      <c r="C21" s="1">
        <f t="shared" si="0"/>
        <v>985.69000000000233</v>
      </c>
      <c r="D21" s="1">
        <f t="shared" si="1"/>
        <v>1.0375684210526341</v>
      </c>
    </row>
    <row r="22" spans="1:4" x14ac:dyDescent="0.4">
      <c r="A22" s="1">
        <f t="shared" si="2"/>
        <v>100000</v>
      </c>
      <c r="B22" s="1">
        <v>99648.3</v>
      </c>
      <c r="C22" s="1">
        <f t="shared" si="0"/>
        <v>351.69999999999709</v>
      </c>
      <c r="D22" s="1">
        <f t="shared" si="1"/>
        <v>0.35169999999999713</v>
      </c>
    </row>
    <row r="23" spans="1:4" x14ac:dyDescent="0.4">
      <c r="A23" s="1">
        <f>A22+50000</f>
        <v>150000</v>
      </c>
      <c r="B23" s="1">
        <v>148860.67000000001</v>
      </c>
      <c r="C23" s="1">
        <f t="shared" si="0"/>
        <v>1139.3299999999872</v>
      </c>
      <c r="D23" s="1">
        <f t="shared" si="1"/>
        <v>0.75955333333332475</v>
      </c>
    </row>
    <row r="24" spans="1:4" x14ac:dyDescent="0.4">
      <c r="A24" s="1">
        <f t="shared" ref="A24:A39" si="3">A23+50000</f>
        <v>200000</v>
      </c>
      <c r="B24" s="1">
        <v>197449.16</v>
      </c>
      <c r="C24" s="1">
        <f t="shared" si="0"/>
        <v>2550.8399999999965</v>
      </c>
      <c r="D24" s="1">
        <f t="shared" si="1"/>
        <v>1.2754199999999982</v>
      </c>
    </row>
    <row r="25" spans="1:4" x14ac:dyDescent="0.4">
      <c r="A25" s="1">
        <f t="shared" si="3"/>
        <v>250000</v>
      </c>
      <c r="B25" s="1">
        <v>246860.96799999999</v>
      </c>
      <c r="C25" s="1">
        <f t="shared" si="0"/>
        <v>3139.0320000000065</v>
      </c>
      <c r="D25" s="1">
        <f t="shared" si="1"/>
        <v>1.2556128000000026</v>
      </c>
    </row>
    <row r="26" spans="1:4" x14ac:dyDescent="0.4">
      <c r="A26" s="1">
        <f t="shared" si="3"/>
        <v>300000</v>
      </c>
      <c r="B26" s="1">
        <v>297785.56</v>
      </c>
      <c r="C26" s="1">
        <f t="shared" si="0"/>
        <v>2214.4400000000023</v>
      </c>
      <c r="D26" s="1">
        <f t="shared" si="1"/>
        <v>0.73814666666666751</v>
      </c>
    </row>
    <row r="27" spans="1:4" x14ac:dyDescent="0.4">
      <c r="A27" s="1">
        <f t="shared" si="3"/>
        <v>350000</v>
      </c>
      <c r="B27" s="1">
        <v>344581.04</v>
      </c>
      <c r="C27" s="1">
        <f t="shared" si="0"/>
        <v>5418.960000000021</v>
      </c>
      <c r="D27" s="1">
        <f t="shared" si="1"/>
        <v>1.5482742857142917</v>
      </c>
    </row>
    <row r="28" spans="1:4" x14ac:dyDescent="0.4">
      <c r="A28" s="1">
        <f t="shared" si="3"/>
        <v>400000</v>
      </c>
      <c r="B28" s="1">
        <v>389496.5</v>
      </c>
      <c r="C28" s="1">
        <f t="shared" si="0"/>
        <v>10503.5</v>
      </c>
      <c r="D28" s="1">
        <f t="shared" si="1"/>
        <v>2.6258750000000002</v>
      </c>
    </row>
    <row r="29" spans="1:4" x14ac:dyDescent="0.4">
      <c r="A29" s="1">
        <f t="shared" si="3"/>
        <v>450000</v>
      </c>
      <c r="B29" s="1">
        <v>438467.96</v>
      </c>
      <c r="C29" s="1">
        <f>A29-B29</f>
        <v>11532.039999999979</v>
      </c>
      <c r="D29" s="1">
        <f>ABS((B29-A29)/A29)*100</f>
        <v>2.5626755555555509</v>
      </c>
    </row>
    <row r="30" spans="1:4" x14ac:dyDescent="0.4">
      <c r="A30" s="1">
        <f t="shared" si="3"/>
        <v>500000</v>
      </c>
      <c r="B30" s="1">
        <v>483009.02</v>
      </c>
      <c r="C30" s="1">
        <f>A30-B30</f>
        <v>16990.979999999981</v>
      </c>
      <c r="D30" s="1">
        <f>ABS((B30-A30)/A30)*100</f>
        <v>3.3981959999999964</v>
      </c>
    </row>
    <row r="31" spans="1:4" x14ac:dyDescent="0.4">
      <c r="A31" s="1">
        <f t="shared" si="3"/>
        <v>550000</v>
      </c>
      <c r="B31" s="1">
        <v>533564.30000000005</v>
      </c>
      <c r="C31" s="1">
        <f>A31-B31</f>
        <v>16435.699999999953</v>
      </c>
      <c r="D31" s="1">
        <f t="shared" si="1"/>
        <v>2.9883090909090826</v>
      </c>
    </row>
    <row r="32" spans="1:4" x14ac:dyDescent="0.4">
      <c r="A32" s="1">
        <f>A31+50000</f>
        <v>600000</v>
      </c>
      <c r="B32" s="1">
        <v>570338.69999999995</v>
      </c>
      <c r="C32" s="1">
        <f>A32-B32</f>
        <v>29661.300000000047</v>
      </c>
      <c r="D32" s="1">
        <f>ABS((B32-A32)/A32)*100</f>
        <v>4.9435500000000072</v>
      </c>
    </row>
    <row r="33" spans="1:4" x14ac:dyDescent="0.4">
      <c r="A33" s="1">
        <f t="shared" si="3"/>
        <v>650000</v>
      </c>
      <c r="B33" s="1">
        <v>624234.19999999995</v>
      </c>
      <c r="C33" s="1">
        <f>A33-B33</f>
        <v>25765.800000000047</v>
      </c>
      <c r="D33" s="1">
        <f>ABS((B33-A33)/A33)*100</f>
        <v>3.9639692307692385</v>
      </c>
    </row>
    <row r="34" spans="1:4" x14ac:dyDescent="0.4">
      <c r="A34" s="1">
        <f t="shared" si="3"/>
        <v>700000</v>
      </c>
      <c r="B34" s="1">
        <v>677162.6</v>
      </c>
      <c r="C34" s="1">
        <f t="shared" si="0"/>
        <v>22837.400000000023</v>
      </c>
      <c r="D34" s="1">
        <f t="shared" si="1"/>
        <v>3.2624857142857175</v>
      </c>
    </row>
    <row r="35" spans="1:4" x14ac:dyDescent="0.4">
      <c r="A35" s="1">
        <f t="shared" si="3"/>
        <v>750000</v>
      </c>
      <c r="B35" s="1">
        <v>723728.9</v>
      </c>
      <c r="C35" s="1">
        <f t="shared" si="0"/>
        <v>26271.099999999977</v>
      </c>
      <c r="D35" s="1">
        <f t="shared" si="1"/>
        <v>3.50281333333333</v>
      </c>
    </row>
    <row r="36" spans="1:4" x14ac:dyDescent="0.4">
      <c r="A36" s="1">
        <f t="shared" si="3"/>
        <v>800000</v>
      </c>
      <c r="B36" s="1">
        <v>787149.22</v>
      </c>
      <c r="C36" s="1">
        <f>A36-B36</f>
        <v>12850.780000000028</v>
      </c>
      <c r="D36" s="1">
        <f>ABS((B36-A36)/A36)*100</f>
        <v>1.6063475000000036</v>
      </c>
    </row>
    <row r="37" spans="1:4" x14ac:dyDescent="0.4">
      <c r="A37" s="1">
        <f t="shared" si="3"/>
        <v>850000</v>
      </c>
      <c r="B37" s="1">
        <v>848560.7</v>
      </c>
      <c r="C37" s="1">
        <f>A37-B37</f>
        <v>1439.3000000000466</v>
      </c>
      <c r="D37" s="1">
        <f>ABS((B37-A37)/A37)*100</f>
        <v>0.16932941176471136</v>
      </c>
    </row>
    <row r="38" spans="1:4" x14ac:dyDescent="0.4">
      <c r="A38" s="1">
        <f t="shared" si="3"/>
        <v>900000</v>
      </c>
      <c r="B38" s="1">
        <v>900746.4</v>
      </c>
      <c r="C38" s="1">
        <f t="shared" si="0"/>
        <v>-746.40000000002328</v>
      </c>
      <c r="D38" s="1">
        <f t="shared" si="1"/>
        <v>8.2933333333335926E-2</v>
      </c>
    </row>
    <row r="39" spans="1:4" x14ac:dyDescent="0.4">
      <c r="A39" s="1">
        <f t="shared" si="3"/>
        <v>950000</v>
      </c>
      <c r="B39" s="1">
        <v>968283.4</v>
      </c>
      <c r="C39" s="1">
        <f t="shared" si="0"/>
        <v>-18283.400000000023</v>
      </c>
      <c r="D39" s="1">
        <f t="shared" si="1"/>
        <v>1.9245684210526341</v>
      </c>
    </row>
    <row r="40" spans="1:4" x14ac:dyDescent="0.4">
      <c r="A40" s="1">
        <f>A39+50000</f>
        <v>1000000</v>
      </c>
      <c r="B40" s="1">
        <v>1031624.3</v>
      </c>
      <c r="C40" s="1">
        <f>A40-B40</f>
        <v>-31624.300000000047</v>
      </c>
      <c r="D40" s="1">
        <f>ABS((B40-A40)/A40)*100</f>
        <v>3.162430000000005</v>
      </c>
    </row>
    <row r="45" spans="1:4" x14ac:dyDescent="0.4">
      <c r="B45" s="2"/>
    </row>
    <row r="46" spans="1:4" x14ac:dyDescent="0.4">
      <c r="B4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Test 1</vt:lpstr>
      <vt:lpstr>Test 2 with Capacitor</vt:lpstr>
      <vt:lpstr>Test 3 with Capacitors and QR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Raja, Sreeraaghav</cp:lastModifiedBy>
  <dcterms:modified xsi:type="dcterms:W3CDTF">2026-02-22T20:58:31Z</dcterms:modified>
</cp:coreProperties>
</file>